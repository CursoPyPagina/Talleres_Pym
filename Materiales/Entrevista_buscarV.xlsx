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\Documents\Cursos\Entrevistas\"/>
    </mc:Choice>
  </mc:AlternateContent>
  <xr:revisionPtr revIDLastSave="0" documentId="8_{C2B220A7-755F-4050-9479-1826108F8A32}" xr6:coauthVersionLast="47" xr6:coauthVersionMax="47" xr10:uidLastSave="{00000000-0000-0000-0000-000000000000}"/>
  <bookViews>
    <workbookView xWindow="-120" yWindow="-120" windowWidth="29040" windowHeight="15720" activeTab="1" xr2:uid="{62D11C67-5CA1-437E-8CA7-4DAFA600C964}"/>
  </bookViews>
  <sheets>
    <sheet name="Inventario" sheetId="1" r:id="rId1"/>
    <sheet name="Ticket_Venta_4" sheetId="2" r:id="rId2"/>
    <sheet name="Ticket_Venta_5" sheetId="3" r:id="rId3"/>
    <sheet name="Consolidad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4" l="1"/>
  <c r="L36" i="4" s="1"/>
  <c r="I36" i="4"/>
  <c r="J35" i="4"/>
  <c r="L35" i="4" s="1"/>
  <c r="I35" i="4"/>
  <c r="J34" i="4"/>
  <c r="L34" i="4" s="1"/>
  <c r="I34" i="4"/>
  <c r="J33" i="4"/>
  <c r="L33" i="4" s="1"/>
  <c r="I33" i="4"/>
  <c r="J32" i="4"/>
  <c r="L32" i="4" s="1"/>
  <c r="I32" i="4"/>
  <c r="L31" i="4"/>
  <c r="J31" i="4"/>
  <c r="I31" i="4"/>
  <c r="J30" i="4"/>
  <c r="L30" i="4" s="1"/>
  <c r="I30" i="4"/>
  <c r="L29" i="4"/>
  <c r="J29" i="4"/>
  <c r="I29" i="4"/>
  <c r="J28" i="4"/>
  <c r="L28" i="4" s="1"/>
  <c r="I28" i="4"/>
  <c r="J27" i="4"/>
  <c r="L27" i="4" s="1"/>
  <c r="I27" i="4"/>
  <c r="J26" i="4"/>
  <c r="L26" i="4" s="1"/>
  <c r="I26" i="4"/>
  <c r="J25" i="4"/>
  <c r="L25" i="4" s="1"/>
  <c r="I25" i="4"/>
  <c r="J24" i="4"/>
  <c r="L24" i="4" s="1"/>
  <c r="I24" i="4"/>
  <c r="J22" i="4"/>
  <c r="L22" i="4" s="1"/>
  <c r="I22" i="4"/>
  <c r="J21" i="4"/>
  <c r="L21" i="4" s="1"/>
  <c r="I21" i="4"/>
  <c r="J20" i="4"/>
  <c r="L20" i="4" s="1"/>
  <c r="I20" i="4"/>
  <c r="J19" i="4"/>
  <c r="L19" i="4" s="1"/>
  <c r="I19" i="4"/>
  <c r="L18" i="4"/>
  <c r="J18" i="4"/>
  <c r="I18" i="4"/>
  <c r="L17" i="4"/>
  <c r="J17" i="4"/>
  <c r="I17" i="4"/>
  <c r="L16" i="4"/>
  <c r="J16" i="4"/>
  <c r="I16" i="4"/>
  <c r="J15" i="4"/>
  <c r="L15" i="4" s="1"/>
  <c r="I15" i="4"/>
  <c r="J14" i="4"/>
  <c r="L14" i="4" s="1"/>
  <c r="I14" i="4"/>
  <c r="J13" i="4"/>
  <c r="L13" i="4" s="1"/>
  <c r="I13" i="4"/>
  <c r="J12" i="4"/>
  <c r="L12" i="4" s="1"/>
  <c r="I12" i="4"/>
  <c r="J11" i="4"/>
  <c r="L11" i="4" s="1"/>
  <c r="I11" i="4"/>
  <c r="J10" i="4"/>
  <c r="L10" i="4" s="1"/>
  <c r="I10" i="4"/>
  <c r="G20" i="3"/>
  <c r="I20" i="3" s="1"/>
  <c r="F20" i="3"/>
  <c r="G19" i="3"/>
  <c r="I19" i="3" s="1"/>
  <c r="F19" i="3"/>
  <c r="G18" i="3"/>
  <c r="I18" i="3" s="1"/>
  <c r="F18" i="3"/>
  <c r="G17" i="3"/>
  <c r="I17" i="3" s="1"/>
  <c r="F17" i="3"/>
  <c r="G16" i="3"/>
  <c r="I16" i="3" s="1"/>
  <c r="F16" i="3"/>
  <c r="I15" i="3"/>
  <c r="G15" i="3"/>
  <c r="F15" i="3"/>
  <c r="G14" i="3"/>
  <c r="I14" i="3" s="1"/>
  <c r="F14" i="3"/>
  <c r="G13" i="3"/>
  <c r="I13" i="3" s="1"/>
  <c r="F13" i="3"/>
  <c r="G12" i="3"/>
  <c r="I12" i="3" s="1"/>
  <c r="F12" i="3"/>
  <c r="G11" i="3"/>
  <c r="I11" i="3" s="1"/>
  <c r="F11" i="3"/>
  <c r="G10" i="3"/>
  <c r="I10" i="3" s="1"/>
  <c r="F10" i="3"/>
  <c r="G9" i="3"/>
  <c r="I9" i="3" s="1"/>
  <c r="F9" i="3"/>
  <c r="G8" i="3"/>
  <c r="I8" i="3" s="1"/>
  <c r="F8" i="3"/>
  <c r="R7" i="1"/>
  <c r="Q7" i="1"/>
  <c r="P7" i="1"/>
  <c r="O7" i="1"/>
  <c r="N7" i="1"/>
  <c r="M7" i="1"/>
  <c r="L7" i="1"/>
  <c r="K7" i="1"/>
  <c r="J7" i="1"/>
  <c r="O25" i="1"/>
  <c r="O24" i="1"/>
  <c r="O23" i="1"/>
  <c r="O22" i="1"/>
  <c r="O21" i="1"/>
  <c r="O20" i="1"/>
  <c r="O19" i="1"/>
  <c r="O18" i="1"/>
  <c r="O17" i="1"/>
  <c r="J9" i="2"/>
  <c r="J11" i="2"/>
  <c r="J12" i="2"/>
  <c r="J14" i="2"/>
  <c r="J15" i="2"/>
  <c r="J16" i="2"/>
  <c r="J17" i="2"/>
  <c r="J18" i="2"/>
  <c r="J19" i="2"/>
  <c r="J20" i="2"/>
  <c r="J21" i="2"/>
  <c r="H9" i="2"/>
  <c r="H10" i="2"/>
  <c r="J10" i="2" s="1"/>
  <c r="H11" i="2"/>
  <c r="H12" i="2"/>
  <c r="H13" i="2"/>
  <c r="J13" i="2" s="1"/>
  <c r="H14" i="2"/>
  <c r="H15" i="2"/>
  <c r="H16" i="2"/>
  <c r="H17" i="2"/>
  <c r="H18" i="2"/>
  <c r="H19" i="2"/>
  <c r="H20" i="2"/>
  <c r="H21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J21" i="1"/>
  <c r="J22" i="1"/>
  <c r="J23" i="1"/>
  <c r="J24" i="1"/>
  <c r="J25" i="1"/>
  <c r="J18" i="1"/>
  <c r="J19" i="1"/>
  <c r="J20" i="1"/>
  <c r="J17" i="1"/>
</calcChain>
</file>

<file path=xl/sharedStrings.xml><?xml version="1.0" encoding="utf-8"?>
<sst xmlns="http://schemas.openxmlformats.org/spreadsheetml/2006/main" count="48" uniqueCount="22">
  <si>
    <t>Inventario</t>
  </si>
  <si>
    <t>Código</t>
  </si>
  <si>
    <t>Descripción</t>
  </si>
  <si>
    <t>Precio</t>
  </si>
  <si>
    <t>Lápiz</t>
  </si>
  <si>
    <t>Pluma</t>
  </si>
  <si>
    <t>Goma</t>
  </si>
  <si>
    <t>Cartulina</t>
  </si>
  <si>
    <t>Cuaderno</t>
  </si>
  <si>
    <t>Carpeta</t>
  </si>
  <si>
    <t>Estuchera</t>
  </si>
  <si>
    <t>Hojas de colores</t>
  </si>
  <si>
    <t>Ticket de Ventas</t>
  </si>
  <si>
    <t>Nombre del producto</t>
  </si>
  <si>
    <t>Precio del producto</t>
  </si>
  <si>
    <t>Cantidad Vendida</t>
  </si>
  <si>
    <t>Código Producto</t>
  </si>
  <si>
    <t>Fecha Venta</t>
  </si>
  <si>
    <t>Total Venta</t>
  </si>
  <si>
    <t>Tabla de excel</t>
  </si>
  <si>
    <t>Tabla artesanal</t>
  </si>
  <si>
    <t>HOY()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</si>
</sst>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9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2" applyFont="1" applyBorder="1"/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0" fillId="6" borderId="0" xfId="0" applyFill="1"/>
    <xf numFmtId="0" fontId="2" fillId="5" borderId="0" xfId="0" applyFont="1" applyFill="1" applyAlignment="1">
      <alignment horizontal="center" textRotation="255"/>
    </xf>
    <xf numFmtId="0" fontId="6" fillId="0" borderId="0" xfId="0" applyFont="1" applyAlignment="1">
      <alignment horizontal="center" textRotation="255"/>
    </xf>
    <xf numFmtId="0" fontId="0" fillId="6" borderId="0" xfId="0" applyFill="1" applyAlignment="1">
      <alignment horizontal="center"/>
    </xf>
    <xf numFmtId="169" fontId="0" fillId="0" borderId="0" xfId="1" applyNumberFormat="1" applyFont="1"/>
    <xf numFmtId="14" fontId="0" fillId="0" borderId="0" xfId="0" applyNumberFormat="1"/>
  </cellXfs>
  <cellStyles count="3">
    <cellStyle name="Millares" xfId="1" builtinId="3"/>
    <cellStyle name="Moneda" xfId="2" builtinId="4"/>
    <cellStyle name="Normal" xfId="0" builtinId="0"/>
  </cellStyles>
  <dxfs count="20">
    <dxf>
      <numFmt numFmtId="19" formatCode="dd/mm/yyyy"/>
    </dxf>
    <dxf>
      <numFmt numFmtId="169" formatCode="_-* #,##0_-;\-* #,##0_-;_-* &quot;-&quot;??_-;_-@_-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</dxf>
    <dxf>
      <numFmt numFmtId="169" formatCode="_-* #,##0_-;\-* #,##0_-;_-* &quot;-&quot;??_-;_-@_-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</dxf>
    <dxf>
      <numFmt numFmtId="169" formatCode="_-* #,##0_-;\-* #,##0_-;_-* &quot;-&quot;??_-;_-@_-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</dxf>
    <dxf>
      <numFmt numFmtId="169" formatCode="_-* #,##0_-;\-* #,##0_-;_-* &quot;-&quot;??_-;_-@_-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1093470</xdr:colOff>
      <xdr:row>0</xdr:row>
      <xdr:rowOff>47626</xdr:rowOff>
    </xdr:from>
    <xdr:to>
      <xdr:col>9</xdr:col>
      <xdr:colOff>614227</xdr:colOff>
      <xdr:row>5</xdr:row>
      <xdr:rowOff>47626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D90CA41-0728-0D76-6D15-54C82EC468D5}"/>
            </a:ext>
          </a:extLst>
        </xdr:cNvPr>
        <xdr:cNvSpPr txBox="1"/>
      </xdr:nvSpPr>
      <xdr:spPr>
        <a:xfrm>
          <a:off x="5039541" y="47626"/>
          <a:ext cx="4711882" cy="91848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=buscarv(VALOR_BUSCADO, RANGO_BUSQUEDA, NUMERO_COLUMNA, 0)</a:t>
          </a:r>
        </a:p>
        <a:p>
          <a:endParaRPr lang="es-ES" sz="1100"/>
        </a:p>
        <a:p>
          <a:r>
            <a:rPr lang="es-ES" sz="1100"/>
            <a:t>0: coincidencia</a:t>
          </a:r>
          <a:r>
            <a:rPr lang="es-ES" sz="1100" baseline="0"/>
            <a:t> exacta</a:t>
          </a:r>
        </a:p>
        <a:p>
          <a:r>
            <a:rPr lang="es-ES" sz="1100" baseline="0"/>
            <a:t>1: coincidencia aproximada</a:t>
          </a:r>
          <a:endParaRPr lang="es-E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51620-A3B0-4A6F-82E2-A8637ED6377A}" name="Tabla1" displayName="Tabla1" ref="F8:K21" totalsRowShown="0">
  <autoFilter ref="F8:K21" xr:uid="{D4651620-A3B0-4A6F-82E2-A8637ED6377A}"/>
  <tableColumns count="6">
    <tableColumn id="1" xr3:uid="{53DB8F7D-DB3A-42C6-BAE0-2FF838FC1019}" name="Código Producto" dataDxfId="19"/>
    <tableColumn id="2" xr3:uid="{B4CC7F24-E95F-44F2-B32F-9E42C0C4A56E}" name="Nombre del producto" dataDxfId="18">
      <calculatedColumnFormula>IFERROR(VLOOKUP(Tabla1[[#This Row],[Código Producto]],Inventario!$A$4:$C$12,2,0), "")</calculatedColumnFormula>
    </tableColumn>
    <tableColumn id="3" xr3:uid="{615D1CF1-9003-4055-93A6-FA36E34B32F4}" name="Precio del producto" dataDxfId="17">
      <calculatedColumnFormula>IFERROR(VLOOKUP(Tabla1[[#This Row],[Código Producto]],Inventario!$A$4:$C$12,3,0),"")</calculatedColumnFormula>
    </tableColumn>
    <tableColumn id="4" xr3:uid="{3CD4A2E7-08B5-4157-925F-DF0DFB06450B}" name="Cantidad Vendida"/>
    <tableColumn id="5" xr3:uid="{BE07F7E0-D347-420F-8014-356C5B1D946B}" name="Total Venta" dataDxfId="16" dataCellStyle="Millares">
      <calculatedColumnFormula>IFERROR(Tabla1[[#This Row],[Cantidad Vendida]]*Tabla1[[#This Row],[Precio del producto]],"")</calculatedColumnFormula>
    </tableColumn>
    <tableColumn id="6" xr3:uid="{65EF68EF-1EE9-4E21-B7C5-0A2F315AB59A}" name="Fecha Venta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F7C27A-29C5-4545-B959-B884BB1CDC5B}" name="Tabla13" displayName="Tabla13" ref="E7:J20" totalsRowShown="0">
  <autoFilter ref="E7:J20" xr:uid="{9AF7C27A-29C5-4545-B959-B884BB1CDC5B}"/>
  <tableColumns count="6">
    <tableColumn id="1" xr3:uid="{F8D9631D-3B74-4BDE-A008-E3D9A7CE90FD}" name="Código Producto" dataDxfId="14"/>
    <tableColumn id="2" xr3:uid="{61F474AF-E17D-436D-9096-E85E84210CDA}" name="Nombre del producto" dataDxfId="13">
      <calculatedColumnFormula>IFERROR(VLOOKUP(Tabla13[[#This Row],[Código Producto]],Inventario!$A$4:$C$12,2,0), "")</calculatedColumnFormula>
    </tableColumn>
    <tableColumn id="3" xr3:uid="{C72DF61C-C1E4-48F4-8DB7-8010069CECF0}" name="Precio del producto" dataDxfId="12">
      <calculatedColumnFormula>IFERROR(VLOOKUP(Tabla13[[#This Row],[Código Producto]],Inventario!$A$4:$C$12,3,0),"")</calculatedColumnFormula>
    </tableColumn>
    <tableColumn id="4" xr3:uid="{3AD06D3F-1AAF-414A-9D7D-7D293CD5CC78}" name="Cantidad Vendida"/>
    <tableColumn id="5" xr3:uid="{7E6E6C5F-EB4D-4461-AF1F-146258AF0974}" name="Total Venta" dataDxfId="11" dataCellStyle="Millares">
      <calculatedColumnFormula>IFERROR(Tabla13[[#This Row],[Cantidad Vendida]]*Tabla13[[#This Row],[Precio del producto]],"")</calculatedColumnFormula>
    </tableColumn>
    <tableColumn id="6" xr3:uid="{43DC474B-3F87-46B7-8BBE-820E16BEB38B}" name="Fecha Venta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F4F69F-07B1-48B4-93B4-689C3E025591}" name="Tabla14" displayName="Tabla14" ref="H9:M22" totalsRowShown="0">
  <autoFilter ref="H9:M22" xr:uid="{42F4F69F-07B1-48B4-93B4-689C3E025591}"/>
  <tableColumns count="6">
    <tableColumn id="1" xr3:uid="{CF83882C-1A14-4016-90E5-88F5A610A042}" name="Código Producto" dataDxfId="9"/>
    <tableColumn id="2" xr3:uid="{D532925F-7D5D-4844-9F00-2D2BD5FEA6A6}" name="Nombre del producto" dataDxfId="8">
      <calculatedColumnFormula>IFERROR(VLOOKUP(Tabla14[[#This Row],[Código Producto]],Inventario!$A$4:$C$12,2,0), "")</calculatedColumnFormula>
    </tableColumn>
    <tableColumn id="3" xr3:uid="{91F3FDEB-3AB2-4E4C-8EBE-C8EF0DAC596F}" name="Precio del producto" dataDxfId="7">
      <calculatedColumnFormula>IFERROR(VLOOKUP(Tabla14[[#This Row],[Código Producto]],Inventario!$A$4:$C$12,3,0),"")</calculatedColumnFormula>
    </tableColumn>
    <tableColumn id="4" xr3:uid="{D2F6F5AA-21BF-415E-A0D3-6E23A7C181C4}" name="Cantidad Vendida"/>
    <tableColumn id="5" xr3:uid="{067401EB-0BE6-4E9A-A117-B54D851F91D5}" name="Total Venta" dataDxfId="6" dataCellStyle="Millares">
      <calculatedColumnFormula>IFERROR(Tabla14[[#This Row],[Cantidad Vendida]]*Tabla14[[#This Row],[Precio del producto]],"")</calculatedColumnFormula>
    </tableColumn>
    <tableColumn id="6" xr3:uid="{DAA8465F-9DFC-426A-BEF5-56B3660A824D}" name="Fecha Venta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2A3529-0B52-4190-822C-DBE6ABBEBC6D}" name="Tabla135" displayName="Tabla135" ref="H23:M36" totalsRowShown="0">
  <autoFilter ref="H23:M36" xr:uid="{522A3529-0B52-4190-822C-DBE6ABBEBC6D}"/>
  <tableColumns count="6">
    <tableColumn id="1" xr3:uid="{D6F3EF91-039D-440C-A05D-DD5CB54D57D8}" name="Código Producto" dataDxfId="4"/>
    <tableColumn id="2" xr3:uid="{635A7D40-7C44-4D58-840C-5E060D0D9A17}" name="Nombre del producto" dataDxfId="3">
      <calculatedColumnFormula>IFERROR(VLOOKUP(Tabla135[[#This Row],[Código Producto]],Inventario!$A$4:$C$12,2,0), "")</calculatedColumnFormula>
    </tableColumn>
    <tableColumn id="3" xr3:uid="{8ACCB947-85D3-4951-A883-115967702864}" name="Precio del producto" dataDxfId="2">
      <calculatedColumnFormula>IFERROR(VLOOKUP(Tabla135[[#This Row],[Código Producto]],Inventario!$A$4:$C$12,3,0),"")</calculatedColumnFormula>
    </tableColumn>
    <tableColumn id="4" xr3:uid="{E46EE8F2-FC19-473C-AC3F-62C75862A517}" name="Cantidad Vendida"/>
    <tableColumn id="5" xr3:uid="{5D5C4899-57BF-4777-9C05-26E64E49B890}" name="Total Venta" dataDxfId="1" dataCellStyle="Millares">
      <calculatedColumnFormula>IFERROR(Tabla135[[#This Row],[Cantidad Vendida]]*Tabla135[[#This Row],[Precio del producto]],"")</calculatedColumnFormula>
    </tableColumn>
    <tableColumn id="6" xr3:uid="{4210B6C9-BD3F-4B57-824E-4014FDE5CACC}" name="Fecha Ven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C96C-BDEC-4C11-8834-9D14E7178100}">
  <dimension ref="A2:R25"/>
  <sheetViews>
    <sheetView zoomScale="120" zoomScaleNormal="120" workbookViewId="0">
      <selection sqref="A1:D1048576"/>
    </sheetView>
  </sheetViews>
  <sheetFormatPr baseColWidth="10" defaultRowHeight="14.4" x14ac:dyDescent="0.3"/>
  <cols>
    <col min="1" max="1" width="8.21875" bestFit="1" customWidth="1"/>
    <col min="2" max="2" width="15" bestFit="1" customWidth="1"/>
    <col min="3" max="3" width="9.5546875" bestFit="1" customWidth="1"/>
  </cols>
  <sheetData>
    <row r="2" spans="1:18" ht="17.399999999999999" x14ac:dyDescent="0.3">
      <c r="A2" s="1" t="s">
        <v>0</v>
      </c>
      <c r="B2" s="1"/>
      <c r="C2" s="1"/>
      <c r="D2" s="10" t="s">
        <v>20</v>
      </c>
    </row>
    <row r="3" spans="1:18" ht="41.4" customHeight="1" x14ac:dyDescent="0.3">
      <c r="D3" s="10"/>
    </row>
    <row r="4" spans="1:18" x14ac:dyDescent="0.3">
      <c r="A4" s="2" t="s">
        <v>1</v>
      </c>
      <c r="B4" s="2" t="s">
        <v>2</v>
      </c>
      <c r="C4" s="2" t="s">
        <v>3</v>
      </c>
      <c r="D4" s="10"/>
    </row>
    <row r="5" spans="1:18" x14ac:dyDescent="0.3">
      <c r="A5" s="3">
        <v>101</v>
      </c>
      <c r="B5" s="4" t="s">
        <v>4</v>
      </c>
      <c r="C5" s="5">
        <v>24</v>
      </c>
      <c r="D5" s="10"/>
    </row>
    <row r="6" spans="1:18" x14ac:dyDescent="0.3">
      <c r="A6" s="3">
        <v>102</v>
      </c>
      <c r="B6" s="4" t="s">
        <v>5</v>
      </c>
      <c r="C6" s="5">
        <v>10</v>
      </c>
      <c r="D6" s="10"/>
    </row>
    <row r="7" spans="1:18" x14ac:dyDescent="0.3">
      <c r="A7" s="3">
        <v>103</v>
      </c>
      <c r="B7" s="4" t="s">
        <v>6</v>
      </c>
      <c r="C7" s="5">
        <v>5</v>
      </c>
      <c r="D7" s="10"/>
      <c r="J7" t="e">
        <f>VLOOKUP(J6,$A$4:$C$12,2,0)</f>
        <v>#N/A</v>
      </c>
      <c r="K7" t="e">
        <f>VLOOKUP(K6,$A$4:$C$12,2,0)</f>
        <v>#N/A</v>
      </c>
      <c r="L7" t="e">
        <f>VLOOKUP(L6,$A$4:$C$12,2,0)</f>
        <v>#N/A</v>
      </c>
      <c r="M7" t="e">
        <f>VLOOKUP(M6,$A$4:$C$12,2,0)</f>
        <v>#N/A</v>
      </c>
      <c r="N7" t="e">
        <f>VLOOKUP(N6,$A$4:$C$12,2,0)</f>
        <v>#N/A</v>
      </c>
      <c r="O7" t="e">
        <f>VLOOKUP(O6,$A$4:$C$12,2,0)</f>
        <v>#N/A</v>
      </c>
      <c r="P7" t="e">
        <f>VLOOKUP(P6,$A$4:$C$12,2,0)</f>
        <v>#N/A</v>
      </c>
      <c r="Q7" t="e">
        <f>VLOOKUP(Q6,$A$4:$C$12,2,0)</f>
        <v>#N/A</v>
      </c>
      <c r="R7" t="e">
        <f>VLOOKUP(R6,$A$4:$C$12,2,0)</f>
        <v>#N/A</v>
      </c>
    </row>
    <row r="8" spans="1:18" x14ac:dyDescent="0.3">
      <c r="A8" s="3">
        <v>104</v>
      </c>
      <c r="B8" s="4" t="s">
        <v>7</v>
      </c>
      <c r="C8" s="5">
        <v>10</v>
      </c>
      <c r="D8" s="10"/>
    </row>
    <row r="9" spans="1:18" x14ac:dyDescent="0.3">
      <c r="A9" s="3">
        <v>105</v>
      </c>
      <c r="B9" s="4" t="s">
        <v>8</v>
      </c>
      <c r="C9" s="5">
        <v>35</v>
      </c>
      <c r="D9" s="10"/>
    </row>
    <row r="10" spans="1:18" x14ac:dyDescent="0.3">
      <c r="A10" s="3">
        <v>106</v>
      </c>
      <c r="B10" s="4" t="s">
        <v>9</v>
      </c>
      <c r="C10" s="5">
        <v>100</v>
      </c>
      <c r="D10" s="10"/>
    </row>
    <row r="11" spans="1:18" x14ac:dyDescent="0.3">
      <c r="A11" s="3">
        <v>107</v>
      </c>
      <c r="B11" s="4" t="s">
        <v>10</v>
      </c>
      <c r="C11" s="5">
        <v>50</v>
      </c>
      <c r="D11" s="10"/>
    </row>
    <row r="12" spans="1:18" x14ac:dyDescent="0.3">
      <c r="A12" s="3">
        <v>108</v>
      </c>
      <c r="B12" s="4" t="s">
        <v>11</v>
      </c>
      <c r="C12" s="5">
        <v>100</v>
      </c>
      <c r="D12" s="10"/>
    </row>
    <row r="17" spans="9:15" x14ac:dyDescent="0.3">
      <c r="I17">
        <v>108</v>
      </c>
      <c r="J17" t="str">
        <f>VLOOKUP(I17,$A$4:$C$12,2,0)</f>
        <v>Hojas de colores</v>
      </c>
      <c r="M17" t="s">
        <v>11</v>
      </c>
      <c r="O17" t="e">
        <f>VLOOKUP(N17,$A$4:$C$12,2,0)</f>
        <v>#N/A</v>
      </c>
    </row>
    <row r="18" spans="9:15" x14ac:dyDescent="0.3">
      <c r="I18">
        <v>108</v>
      </c>
      <c r="J18" t="str">
        <f t="shared" ref="J18:J25" si="0">VLOOKUP(I18,$A$4:$C$12,2,0)</f>
        <v>Hojas de colores</v>
      </c>
      <c r="M18" t="s">
        <v>11</v>
      </c>
      <c r="O18" t="e">
        <f t="shared" ref="O18:O25" si="1">VLOOKUP(N18,$A$4:$C$12,2,0)</f>
        <v>#N/A</v>
      </c>
    </row>
    <row r="19" spans="9:15" x14ac:dyDescent="0.3">
      <c r="I19">
        <v>107</v>
      </c>
      <c r="J19" t="str">
        <f t="shared" si="0"/>
        <v>Estuchera</v>
      </c>
      <c r="M19" t="s">
        <v>10</v>
      </c>
      <c r="N19">
        <v>105</v>
      </c>
      <c r="O19" t="str">
        <f t="shared" si="1"/>
        <v>Cuaderno</v>
      </c>
    </row>
    <row r="20" spans="9:15" x14ac:dyDescent="0.3">
      <c r="I20">
        <v>105</v>
      </c>
      <c r="J20" t="str">
        <f t="shared" si="0"/>
        <v>Cuaderno</v>
      </c>
      <c r="M20" t="s">
        <v>8</v>
      </c>
      <c r="O20" t="e">
        <f t="shared" si="1"/>
        <v>#N/A</v>
      </c>
    </row>
    <row r="21" spans="9:15" x14ac:dyDescent="0.3">
      <c r="J21" t="e">
        <f t="shared" si="0"/>
        <v>#N/A</v>
      </c>
      <c r="M21" t="e">
        <v>#N/A</v>
      </c>
      <c r="O21" t="e">
        <f t="shared" si="1"/>
        <v>#N/A</v>
      </c>
    </row>
    <row r="22" spans="9:15" x14ac:dyDescent="0.3">
      <c r="J22" t="e">
        <f t="shared" si="0"/>
        <v>#N/A</v>
      </c>
      <c r="M22" t="e">
        <v>#N/A</v>
      </c>
      <c r="O22" t="e">
        <f t="shared" si="1"/>
        <v>#N/A</v>
      </c>
    </row>
    <row r="23" spans="9:15" x14ac:dyDescent="0.3">
      <c r="J23" t="e">
        <f t="shared" si="0"/>
        <v>#N/A</v>
      </c>
      <c r="M23" t="e">
        <v>#N/A</v>
      </c>
      <c r="O23" t="e">
        <f t="shared" si="1"/>
        <v>#N/A</v>
      </c>
    </row>
    <row r="24" spans="9:15" x14ac:dyDescent="0.3">
      <c r="J24" t="e">
        <f t="shared" si="0"/>
        <v>#N/A</v>
      </c>
      <c r="M24" t="e">
        <v>#N/A</v>
      </c>
      <c r="O24" t="e">
        <f t="shared" si="1"/>
        <v>#N/A</v>
      </c>
    </row>
    <row r="25" spans="9:15" x14ac:dyDescent="0.3">
      <c r="J25" t="e">
        <f t="shared" si="0"/>
        <v>#N/A</v>
      </c>
      <c r="M25" t="e">
        <v>#N/A</v>
      </c>
      <c r="O25" t="e">
        <f t="shared" si="1"/>
        <v>#N/A</v>
      </c>
    </row>
  </sheetData>
  <mergeCells count="2">
    <mergeCell ref="A2:C2"/>
    <mergeCell ref="D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8E8D-D76F-417C-84D4-AF3BAB054F3C}">
  <dimension ref="F6:L21"/>
  <sheetViews>
    <sheetView tabSelected="1" topLeftCell="C1" zoomScale="140" zoomScaleNormal="140" workbookViewId="0">
      <selection activeCell="I19" sqref="I19"/>
    </sheetView>
  </sheetViews>
  <sheetFormatPr baseColWidth="10" defaultRowHeight="14.4" x14ac:dyDescent="0.3"/>
  <cols>
    <col min="6" max="6" width="16.88671875" bestFit="1" customWidth="1"/>
    <col min="7" max="7" width="21.109375" style="6" bestFit="1" customWidth="1"/>
    <col min="8" max="8" width="19.5546875" bestFit="1" customWidth="1"/>
    <col min="9" max="9" width="18.109375" bestFit="1" customWidth="1"/>
    <col min="10" max="10" width="12.44140625" bestFit="1" customWidth="1"/>
    <col min="11" max="11" width="13.33203125" bestFit="1" customWidth="1"/>
  </cols>
  <sheetData>
    <row r="6" spans="6:12" x14ac:dyDescent="0.3">
      <c r="K6" t="s">
        <v>21</v>
      </c>
    </row>
    <row r="7" spans="6:12" ht="23.4" x14ac:dyDescent="0.45">
      <c r="F7" s="7" t="s">
        <v>12</v>
      </c>
      <c r="G7" s="7"/>
      <c r="H7" s="7"/>
      <c r="I7" s="7"/>
      <c r="J7" s="7"/>
      <c r="K7" s="7"/>
      <c r="L7" s="9" t="s">
        <v>19</v>
      </c>
    </row>
    <row r="8" spans="6:12" x14ac:dyDescent="0.3">
      <c r="F8" t="s">
        <v>16</v>
      </c>
      <c r="G8" s="6" t="s">
        <v>13</v>
      </c>
      <c r="H8" t="s">
        <v>14</v>
      </c>
      <c r="I8" t="s">
        <v>15</v>
      </c>
      <c r="J8" t="s">
        <v>18</v>
      </c>
      <c r="K8" t="s">
        <v>17</v>
      </c>
      <c r="L8" s="9"/>
    </row>
    <row r="9" spans="6:12" x14ac:dyDescent="0.3">
      <c r="F9" s="8">
        <v>108</v>
      </c>
      <c r="G9" s="11" t="str">
        <f>IFERROR(VLOOKUP(Tabla1[[#This Row],[Código Producto]],Inventario!$A$4:$C$12,2,0), "")</f>
        <v>Hojas de colores</v>
      </c>
      <c r="H9" s="8">
        <f>IFERROR(VLOOKUP(Tabla1[[#This Row],[Código Producto]],Inventario!$A$4:$C$12,3,0),"")</f>
        <v>100</v>
      </c>
      <c r="I9">
        <v>20</v>
      </c>
      <c r="J9" s="12">
        <f>IFERROR(Tabla1[[#This Row],[Cantidad Vendida]]*Tabla1[[#This Row],[Precio del producto]],"")</f>
        <v>2000</v>
      </c>
      <c r="K9" s="13">
        <v>45904</v>
      </c>
      <c r="L9" s="9"/>
    </row>
    <row r="10" spans="6:12" x14ac:dyDescent="0.3">
      <c r="F10" s="8">
        <v>105</v>
      </c>
      <c r="G10" s="11" t="str">
        <f>IFERROR(VLOOKUP(Tabla1[[#This Row],[Código Producto]],Inventario!$A$4:$C$12,2,0), "")</f>
        <v>Cuaderno</v>
      </c>
      <c r="H10" s="8">
        <f>IFERROR(VLOOKUP(Tabla1[[#This Row],[Código Producto]],Inventario!$A$4:$C$12,3,0),"")</f>
        <v>35</v>
      </c>
      <c r="I10">
        <v>5</v>
      </c>
      <c r="J10" s="12">
        <f>IFERROR(Tabla1[[#This Row],[Cantidad Vendida]]*Tabla1[[#This Row],[Precio del producto]],"")</f>
        <v>175</v>
      </c>
      <c r="K10" s="13">
        <v>45904</v>
      </c>
      <c r="L10" s="9"/>
    </row>
    <row r="11" spans="6:12" x14ac:dyDescent="0.3">
      <c r="F11" s="8"/>
      <c r="G11" s="11" t="str">
        <f>IFERROR(VLOOKUP(Tabla1[[#This Row],[Código Producto]],Inventario!$A$4:$C$12,2,0), "")</f>
        <v/>
      </c>
      <c r="H11" s="8" t="str">
        <f>IFERROR(VLOOKUP(Tabla1[[#This Row],[Código Producto]],Inventario!$A$4:$C$12,3,0),"")</f>
        <v/>
      </c>
      <c r="J11" s="12" t="str">
        <f>IFERROR(Tabla1[[#This Row],[Cantidad Vendida]]*Tabla1[[#This Row],[Precio del producto]],"")</f>
        <v/>
      </c>
      <c r="K11" s="13">
        <v>45904</v>
      </c>
      <c r="L11" s="9"/>
    </row>
    <row r="12" spans="6:12" x14ac:dyDescent="0.3">
      <c r="F12" s="8"/>
      <c r="G12" s="11" t="str">
        <f>IFERROR(VLOOKUP(Tabla1[[#This Row],[Código Producto]],Inventario!$A$4:$C$12,2,0), "")</f>
        <v/>
      </c>
      <c r="H12" s="8" t="str">
        <f>IFERROR(VLOOKUP(Tabla1[[#This Row],[Código Producto]],Inventario!$A$4:$C$12,3,0),"")</f>
        <v/>
      </c>
      <c r="J12" s="12" t="str">
        <f>IFERROR(Tabla1[[#This Row],[Cantidad Vendida]]*Tabla1[[#This Row],[Precio del producto]],"")</f>
        <v/>
      </c>
      <c r="K12" s="13">
        <v>45904</v>
      </c>
      <c r="L12" s="9"/>
    </row>
    <row r="13" spans="6:12" x14ac:dyDescent="0.3">
      <c r="F13" s="8">
        <v>107</v>
      </c>
      <c r="G13" s="11" t="str">
        <f>IFERROR(VLOOKUP(Tabla1[[#This Row],[Código Producto]],Inventario!$A$4:$C$12,2,0), "")</f>
        <v>Estuchera</v>
      </c>
      <c r="H13" s="8">
        <f>IFERROR(VLOOKUP(Tabla1[[#This Row],[Código Producto]],Inventario!$A$4:$C$12,3,0),"")</f>
        <v>50</v>
      </c>
      <c r="I13">
        <v>500</v>
      </c>
      <c r="J13" s="12">
        <f>IFERROR(Tabla1[[#This Row],[Cantidad Vendida]]*Tabla1[[#This Row],[Precio del producto]],"")</f>
        <v>25000</v>
      </c>
      <c r="K13" s="13">
        <v>45904</v>
      </c>
      <c r="L13" s="9"/>
    </row>
    <row r="14" spans="6:12" x14ac:dyDescent="0.3">
      <c r="F14" s="8"/>
      <c r="G14" s="11" t="str">
        <f>IFERROR(VLOOKUP(Tabla1[[#This Row],[Código Producto]],Inventario!$A$4:$C$12,2,0), "")</f>
        <v/>
      </c>
      <c r="H14" s="8" t="str">
        <f>IFERROR(VLOOKUP(Tabla1[[#This Row],[Código Producto]],Inventario!$A$4:$C$12,3,0),"")</f>
        <v/>
      </c>
      <c r="J14" s="12" t="str">
        <f>IFERROR(Tabla1[[#This Row],[Cantidad Vendida]]*Tabla1[[#This Row],[Precio del producto]],"")</f>
        <v/>
      </c>
      <c r="K14" s="13">
        <v>45904</v>
      </c>
      <c r="L14" s="9"/>
    </row>
    <row r="15" spans="6:12" x14ac:dyDescent="0.3">
      <c r="F15" s="8"/>
      <c r="G15" s="11" t="str">
        <f>IFERROR(VLOOKUP(Tabla1[[#This Row],[Código Producto]],Inventario!$A$4:$C$12,2,0), "")</f>
        <v/>
      </c>
      <c r="H15" s="8" t="str">
        <f>IFERROR(VLOOKUP(Tabla1[[#This Row],[Código Producto]],Inventario!$A$4:$C$12,3,0),"")</f>
        <v/>
      </c>
      <c r="J15" s="12" t="str">
        <f>IFERROR(Tabla1[[#This Row],[Cantidad Vendida]]*Tabla1[[#This Row],[Precio del producto]],"")</f>
        <v/>
      </c>
      <c r="K15" s="13">
        <v>45904</v>
      </c>
      <c r="L15" s="9"/>
    </row>
    <row r="16" spans="6:12" x14ac:dyDescent="0.3">
      <c r="F16" s="8"/>
      <c r="G16" s="11" t="str">
        <f>IFERROR(VLOOKUP(Tabla1[[#This Row],[Código Producto]],Inventario!$A$4:$C$12,2,0), "")</f>
        <v/>
      </c>
      <c r="H16" s="8" t="str">
        <f>IFERROR(VLOOKUP(Tabla1[[#This Row],[Código Producto]],Inventario!$A$4:$C$12,3,0),"")</f>
        <v/>
      </c>
      <c r="J16" s="12" t="str">
        <f>IFERROR(Tabla1[[#This Row],[Cantidad Vendida]]*Tabla1[[#This Row],[Precio del producto]],"")</f>
        <v/>
      </c>
      <c r="K16" s="13">
        <v>45904</v>
      </c>
      <c r="L16" s="9"/>
    </row>
    <row r="17" spans="6:12" x14ac:dyDescent="0.3">
      <c r="F17" s="8"/>
      <c r="G17" s="11" t="str">
        <f>IFERROR(VLOOKUP(Tabla1[[#This Row],[Código Producto]],Inventario!$A$4:$C$12,2,0), "")</f>
        <v/>
      </c>
      <c r="H17" s="8" t="str">
        <f>IFERROR(VLOOKUP(Tabla1[[#This Row],[Código Producto]],Inventario!$A$4:$C$12,3,0),"")</f>
        <v/>
      </c>
      <c r="J17" s="12" t="str">
        <f>IFERROR(Tabla1[[#This Row],[Cantidad Vendida]]*Tabla1[[#This Row],[Precio del producto]],"")</f>
        <v/>
      </c>
      <c r="K17" s="13">
        <v>45904</v>
      </c>
      <c r="L17" s="9"/>
    </row>
    <row r="18" spans="6:12" x14ac:dyDescent="0.3">
      <c r="F18" s="8"/>
      <c r="G18" s="11" t="str">
        <f>IFERROR(VLOOKUP(Tabla1[[#This Row],[Código Producto]],Inventario!$A$4:$C$12,2,0), "")</f>
        <v/>
      </c>
      <c r="H18" s="8" t="str">
        <f>IFERROR(VLOOKUP(Tabla1[[#This Row],[Código Producto]],Inventario!$A$4:$C$12,3,0),"")</f>
        <v/>
      </c>
      <c r="J18" s="12" t="str">
        <f>IFERROR(Tabla1[[#This Row],[Cantidad Vendida]]*Tabla1[[#This Row],[Precio del producto]],"")</f>
        <v/>
      </c>
      <c r="K18" s="13">
        <v>45904</v>
      </c>
      <c r="L18" s="9"/>
    </row>
    <row r="19" spans="6:12" x14ac:dyDescent="0.3">
      <c r="F19" s="8"/>
      <c r="G19" s="11" t="str">
        <f>IFERROR(VLOOKUP(Tabla1[[#This Row],[Código Producto]],Inventario!$A$4:$C$12,2,0), "")</f>
        <v/>
      </c>
      <c r="H19" s="8" t="str">
        <f>IFERROR(VLOOKUP(Tabla1[[#This Row],[Código Producto]],Inventario!$A$4:$C$12,3,0),"")</f>
        <v/>
      </c>
      <c r="J19" s="12" t="str">
        <f>IFERROR(Tabla1[[#This Row],[Cantidad Vendida]]*Tabla1[[#This Row],[Precio del producto]],"")</f>
        <v/>
      </c>
      <c r="K19" s="13">
        <v>45904</v>
      </c>
      <c r="L19" s="9"/>
    </row>
    <row r="20" spans="6:12" x14ac:dyDescent="0.3">
      <c r="F20" s="8"/>
      <c r="G20" s="11" t="str">
        <f>IFERROR(VLOOKUP(Tabla1[[#This Row],[Código Producto]],Inventario!$A$4:$C$12,2,0), "")</f>
        <v/>
      </c>
      <c r="H20" s="8" t="str">
        <f>IFERROR(VLOOKUP(Tabla1[[#This Row],[Código Producto]],Inventario!$A$4:$C$12,3,0),"")</f>
        <v/>
      </c>
      <c r="J20" s="12" t="str">
        <f>IFERROR(Tabla1[[#This Row],[Cantidad Vendida]]*Tabla1[[#This Row],[Precio del producto]],"")</f>
        <v/>
      </c>
      <c r="K20" s="13">
        <v>45904</v>
      </c>
      <c r="L20" s="9"/>
    </row>
    <row r="21" spans="6:12" x14ac:dyDescent="0.3">
      <c r="F21" s="8"/>
      <c r="G21" s="11" t="str">
        <f>IFERROR(VLOOKUP(Tabla1[[#This Row],[Código Producto]],Inventario!$A$4:$C$12,2,0), "")</f>
        <v/>
      </c>
      <c r="H21" s="8" t="str">
        <f>IFERROR(VLOOKUP(Tabla1[[#This Row],[Código Producto]],Inventario!$A$4:$C$12,3,0),"")</f>
        <v/>
      </c>
      <c r="J21" s="12" t="str">
        <f>IFERROR(Tabla1[[#This Row],[Cantidad Vendida]]*Tabla1[[#This Row],[Precio del producto]],"")</f>
        <v/>
      </c>
      <c r="K21" s="13">
        <v>45904</v>
      </c>
      <c r="L21" s="9"/>
    </row>
  </sheetData>
  <mergeCells count="2">
    <mergeCell ref="F7:K7"/>
    <mergeCell ref="L7:L21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D7A1D9-F5BA-4910-9848-257F69009CC1}">
          <x14:formula1>
            <xm:f>Inventario!$A$5:$A$12</xm:f>
          </x14:formula1>
          <xm:sqref>F9:F21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B78F-AF83-430D-9422-E8FA43AC3194}">
  <dimension ref="E6:K20"/>
  <sheetViews>
    <sheetView workbookViewId="0">
      <selection activeCell="E6" sqref="E6:K20"/>
    </sheetView>
  </sheetViews>
  <sheetFormatPr baseColWidth="10" defaultRowHeight="14.4" x14ac:dyDescent="0.3"/>
  <cols>
    <col min="5" max="11" width="11.6640625" customWidth="1"/>
  </cols>
  <sheetData>
    <row r="6" spans="5:11" ht="23.4" x14ac:dyDescent="0.45">
      <c r="E6" s="7" t="s">
        <v>12</v>
      </c>
      <c r="F6" s="7"/>
      <c r="G6" s="7"/>
      <c r="H6" s="7"/>
      <c r="I6" s="7"/>
      <c r="J6" s="7"/>
      <c r="K6" s="9" t="s">
        <v>19</v>
      </c>
    </row>
    <row r="7" spans="5:11" x14ac:dyDescent="0.3">
      <c r="E7" t="s">
        <v>16</v>
      </c>
      <c r="F7" s="6" t="s">
        <v>13</v>
      </c>
      <c r="G7" t="s">
        <v>14</v>
      </c>
      <c r="H7" t="s">
        <v>15</v>
      </c>
      <c r="I7" t="s">
        <v>18</v>
      </c>
      <c r="J7" t="s">
        <v>17</v>
      </c>
      <c r="K7" s="9"/>
    </row>
    <row r="8" spans="5:11" x14ac:dyDescent="0.3">
      <c r="E8" s="8">
        <v>108</v>
      </c>
      <c r="F8" s="11" t="str">
        <f>IFERROR(VLOOKUP(Tabla13[[#This Row],[Código Producto]],Inventario!$A$4:$C$12,2,0), "")</f>
        <v>Hojas de colores</v>
      </c>
      <c r="G8" s="8">
        <f>IFERROR(VLOOKUP(Tabla13[[#This Row],[Código Producto]],Inventario!$A$4:$C$12,3,0),"")</f>
        <v>100</v>
      </c>
      <c r="H8">
        <v>20</v>
      </c>
      <c r="I8" s="12">
        <f>IFERROR(Tabla13[[#This Row],[Cantidad Vendida]]*Tabla13[[#This Row],[Precio del producto]],"")</f>
        <v>2000</v>
      </c>
      <c r="J8" s="13">
        <v>45905</v>
      </c>
      <c r="K8" s="9"/>
    </row>
    <row r="9" spans="5:11" x14ac:dyDescent="0.3">
      <c r="E9" s="8">
        <v>105</v>
      </c>
      <c r="F9" s="11" t="str">
        <f>IFERROR(VLOOKUP(Tabla13[[#This Row],[Código Producto]],Inventario!$A$4:$C$12,2,0), "")</f>
        <v>Cuaderno</v>
      </c>
      <c r="G9" s="8">
        <f>IFERROR(VLOOKUP(Tabla13[[#This Row],[Código Producto]],Inventario!$A$4:$C$12,3,0),"")</f>
        <v>35</v>
      </c>
      <c r="H9">
        <v>5</v>
      </c>
      <c r="I9" s="12">
        <f>IFERROR(Tabla13[[#This Row],[Cantidad Vendida]]*Tabla13[[#This Row],[Precio del producto]],"")</f>
        <v>175</v>
      </c>
      <c r="J9" s="13">
        <v>45905</v>
      </c>
      <c r="K9" s="9"/>
    </row>
    <row r="10" spans="5:11" x14ac:dyDescent="0.3">
      <c r="E10" s="8"/>
      <c r="F10" s="11" t="str">
        <f>IFERROR(VLOOKUP(Tabla13[[#This Row],[Código Producto]],Inventario!$A$4:$C$12,2,0), "")</f>
        <v/>
      </c>
      <c r="G10" s="8" t="str">
        <f>IFERROR(VLOOKUP(Tabla13[[#This Row],[Código Producto]],Inventario!$A$4:$C$12,3,0),"")</f>
        <v/>
      </c>
      <c r="I10" s="12" t="str">
        <f>IFERROR(Tabla13[[#This Row],[Cantidad Vendida]]*Tabla13[[#This Row],[Precio del producto]],"")</f>
        <v/>
      </c>
      <c r="J10" s="13">
        <v>45905</v>
      </c>
      <c r="K10" s="9"/>
    </row>
    <row r="11" spans="5:11" x14ac:dyDescent="0.3">
      <c r="E11" s="8"/>
      <c r="F11" s="11" t="str">
        <f>IFERROR(VLOOKUP(Tabla13[[#This Row],[Código Producto]],Inventario!$A$4:$C$12,2,0), "")</f>
        <v/>
      </c>
      <c r="G11" s="8" t="str">
        <f>IFERROR(VLOOKUP(Tabla13[[#This Row],[Código Producto]],Inventario!$A$4:$C$12,3,0),"")</f>
        <v/>
      </c>
      <c r="I11" s="12" t="str">
        <f>IFERROR(Tabla13[[#This Row],[Cantidad Vendida]]*Tabla13[[#This Row],[Precio del producto]],"")</f>
        <v/>
      </c>
      <c r="J11" s="13">
        <v>45905</v>
      </c>
      <c r="K11" s="9"/>
    </row>
    <row r="12" spans="5:11" x14ac:dyDescent="0.3">
      <c r="E12" s="8">
        <v>107</v>
      </c>
      <c r="F12" s="11" t="str">
        <f>IFERROR(VLOOKUP(Tabla13[[#This Row],[Código Producto]],Inventario!$A$4:$C$12,2,0), "")</f>
        <v>Estuchera</v>
      </c>
      <c r="G12" s="8">
        <f>IFERROR(VLOOKUP(Tabla13[[#This Row],[Código Producto]],Inventario!$A$4:$C$12,3,0),"")</f>
        <v>50</v>
      </c>
      <c r="H12">
        <v>500</v>
      </c>
      <c r="I12" s="12">
        <f>IFERROR(Tabla13[[#This Row],[Cantidad Vendida]]*Tabla13[[#This Row],[Precio del producto]],"")</f>
        <v>25000</v>
      </c>
      <c r="J12" s="13">
        <v>45905</v>
      </c>
      <c r="K12" s="9"/>
    </row>
    <row r="13" spans="5:11" x14ac:dyDescent="0.3">
      <c r="E13" s="8"/>
      <c r="F13" s="11" t="str">
        <f>IFERROR(VLOOKUP(Tabla13[[#This Row],[Código Producto]],Inventario!$A$4:$C$12,2,0), "")</f>
        <v/>
      </c>
      <c r="G13" s="8" t="str">
        <f>IFERROR(VLOOKUP(Tabla13[[#This Row],[Código Producto]],Inventario!$A$4:$C$12,3,0),"")</f>
        <v/>
      </c>
      <c r="I13" s="12" t="str">
        <f>IFERROR(Tabla13[[#This Row],[Cantidad Vendida]]*Tabla13[[#This Row],[Precio del producto]],"")</f>
        <v/>
      </c>
      <c r="J13" s="13">
        <v>45905</v>
      </c>
      <c r="K13" s="9"/>
    </row>
    <row r="14" spans="5:11" x14ac:dyDescent="0.3">
      <c r="E14" s="8"/>
      <c r="F14" s="11" t="str">
        <f>IFERROR(VLOOKUP(Tabla13[[#This Row],[Código Producto]],Inventario!$A$4:$C$12,2,0), "")</f>
        <v/>
      </c>
      <c r="G14" s="8" t="str">
        <f>IFERROR(VLOOKUP(Tabla13[[#This Row],[Código Producto]],Inventario!$A$4:$C$12,3,0),"")</f>
        <v/>
      </c>
      <c r="I14" s="12" t="str">
        <f>IFERROR(Tabla13[[#This Row],[Cantidad Vendida]]*Tabla13[[#This Row],[Precio del producto]],"")</f>
        <v/>
      </c>
      <c r="J14" s="13">
        <v>45905</v>
      </c>
      <c r="K14" s="9"/>
    </row>
    <row r="15" spans="5:11" x14ac:dyDescent="0.3">
      <c r="E15" s="8"/>
      <c r="F15" s="11" t="str">
        <f>IFERROR(VLOOKUP(Tabla13[[#This Row],[Código Producto]],Inventario!$A$4:$C$12,2,0), "")</f>
        <v/>
      </c>
      <c r="G15" s="8" t="str">
        <f>IFERROR(VLOOKUP(Tabla13[[#This Row],[Código Producto]],Inventario!$A$4:$C$12,3,0),"")</f>
        <v/>
      </c>
      <c r="I15" s="12" t="str">
        <f>IFERROR(Tabla13[[#This Row],[Cantidad Vendida]]*Tabla13[[#This Row],[Precio del producto]],"")</f>
        <v/>
      </c>
      <c r="J15" s="13">
        <v>45905</v>
      </c>
      <c r="K15" s="9"/>
    </row>
    <row r="16" spans="5:11" x14ac:dyDescent="0.3">
      <c r="E16" s="8"/>
      <c r="F16" s="11" t="str">
        <f>IFERROR(VLOOKUP(Tabla13[[#This Row],[Código Producto]],Inventario!$A$4:$C$12,2,0), "")</f>
        <v/>
      </c>
      <c r="G16" s="8" t="str">
        <f>IFERROR(VLOOKUP(Tabla13[[#This Row],[Código Producto]],Inventario!$A$4:$C$12,3,0),"")</f>
        <v/>
      </c>
      <c r="I16" s="12" t="str">
        <f>IFERROR(Tabla13[[#This Row],[Cantidad Vendida]]*Tabla13[[#This Row],[Precio del producto]],"")</f>
        <v/>
      </c>
      <c r="J16" s="13">
        <v>45905</v>
      </c>
      <c r="K16" s="9"/>
    </row>
    <row r="17" spans="5:11" x14ac:dyDescent="0.3">
      <c r="E17" s="8"/>
      <c r="F17" s="11" t="str">
        <f>IFERROR(VLOOKUP(Tabla13[[#This Row],[Código Producto]],Inventario!$A$4:$C$12,2,0), "")</f>
        <v/>
      </c>
      <c r="G17" s="8" t="str">
        <f>IFERROR(VLOOKUP(Tabla13[[#This Row],[Código Producto]],Inventario!$A$4:$C$12,3,0),"")</f>
        <v/>
      </c>
      <c r="I17" s="12" t="str">
        <f>IFERROR(Tabla13[[#This Row],[Cantidad Vendida]]*Tabla13[[#This Row],[Precio del producto]],"")</f>
        <v/>
      </c>
      <c r="J17" s="13">
        <v>45905</v>
      </c>
      <c r="K17" s="9"/>
    </row>
    <row r="18" spans="5:11" x14ac:dyDescent="0.3">
      <c r="E18" s="8"/>
      <c r="F18" s="11" t="str">
        <f>IFERROR(VLOOKUP(Tabla13[[#This Row],[Código Producto]],Inventario!$A$4:$C$12,2,0), "")</f>
        <v/>
      </c>
      <c r="G18" s="8" t="str">
        <f>IFERROR(VLOOKUP(Tabla13[[#This Row],[Código Producto]],Inventario!$A$4:$C$12,3,0),"")</f>
        <v/>
      </c>
      <c r="I18" s="12" t="str">
        <f>IFERROR(Tabla13[[#This Row],[Cantidad Vendida]]*Tabla13[[#This Row],[Precio del producto]],"")</f>
        <v/>
      </c>
      <c r="J18" s="13">
        <v>45905</v>
      </c>
      <c r="K18" s="9"/>
    </row>
    <row r="19" spans="5:11" x14ac:dyDescent="0.3">
      <c r="E19" s="8"/>
      <c r="F19" s="11" t="str">
        <f>IFERROR(VLOOKUP(Tabla13[[#This Row],[Código Producto]],Inventario!$A$4:$C$12,2,0), "")</f>
        <v/>
      </c>
      <c r="G19" s="8" t="str">
        <f>IFERROR(VLOOKUP(Tabla13[[#This Row],[Código Producto]],Inventario!$A$4:$C$12,3,0),"")</f>
        <v/>
      </c>
      <c r="I19" s="12" t="str">
        <f>IFERROR(Tabla13[[#This Row],[Cantidad Vendida]]*Tabla13[[#This Row],[Precio del producto]],"")</f>
        <v/>
      </c>
      <c r="J19" s="13">
        <v>45905</v>
      </c>
      <c r="K19" s="9"/>
    </row>
    <row r="20" spans="5:11" x14ac:dyDescent="0.3">
      <c r="E20" s="8"/>
      <c r="F20" s="11" t="str">
        <f>IFERROR(VLOOKUP(Tabla13[[#This Row],[Código Producto]],Inventario!$A$4:$C$12,2,0), "")</f>
        <v/>
      </c>
      <c r="G20" s="8" t="str">
        <f>IFERROR(VLOOKUP(Tabla13[[#This Row],[Código Producto]],Inventario!$A$4:$C$12,3,0),"")</f>
        <v/>
      </c>
      <c r="I20" s="12" t="str">
        <f>IFERROR(Tabla13[[#This Row],[Cantidad Vendida]]*Tabla13[[#This Row],[Precio del producto]],"")</f>
        <v/>
      </c>
      <c r="J20" s="13">
        <v>45905</v>
      </c>
      <c r="K20" s="9"/>
    </row>
  </sheetData>
  <mergeCells count="2">
    <mergeCell ref="E6:J6"/>
    <mergeCell ref="K6:K20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70CB13-72F7-4CB3-BE18-30AB5F5AEBAD}">
          <x14:formula1>
            <xm:f>Inventario!$A$5:$A$12</xm:f>
          </x14:formula1>
          <xm:sqref>E8:E20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094D-A230-403F-975F-4705AD17ECE2}">
  <dimension ref="H8:N36"/>
  <sheetViews>
    <sheetView workbookViewId="0">
      <selection activeCell="D33" sqref="D33"/>
    </sheetView>
  </sheetViews>
  <sheetFormatPr baseColWidth="10" defaultRowHeight="14.4" x14ac:dyDescent="0.3"/>
  <sheetData>
    <row r="8" spans="8:14" ht="23.4" x14ac:dyDescent="0.45">
      <c r="H8" s="7" t="s">
        <v>12</v>
      </c>
      <c r="I8" s="7"/>
      <c r="J8" s="7"/>
      <c r="K8" s="7"/>
      <c r="L8" s="7"/>
      <c r="M8" s="7"/>
      <c r="N8" s="9" t="s">
        <v>19</v>
      </c>
    </row>
    <row r="9" spans="8:14" x14ac:dyDescent="0.3">
      <c r="H9" t="s">
        <v>16</v>
      </c>
      <c r="I9" s="6" t="s">
        <v>13</v>
      </c>
      <c r="J9" t="s">
        <v>14</v>
      </c>
      <c r="K9" t="s">
        <v>15</v>
      </c>
      <c r="L9" t="s">
        <v>18</v>
      </c>
      <c r="M9" t="s">
        <v>17</v>
      </c>
      <c r="N9" s="9"/>
    </row>
    <row r="10" spans="8:14" x14ac:dyDescent="0.3">
      <c r="H10" s="8">
        <v>108</v>
      </c>
      <c r="I10" s="11" t="str">
        <f>IFERROR(VLOOKUP(Tabla14[[#This Row],[Código Producto]],Inventario!$A$4:$C$12,2,0), "")</f>
        <v>Hojas de colores</v>
      </c>
      <c r="J10" s="8">
        <f>IFERROR(VLOOKUP(Tabla14[[#This Row],[Código Producto]],Inventario!$A$4:$C$12,3,0),"")</f>
        <v>100</v>
      </c>
      <c r="K10">
        <v>20</v>
      </c>
      <c r="L10" s="12">
        <f>IFERROR(Tabla14[[#This Row],[Cantidad Vendida]]*Tabla14[[#This Row],[Precio del producto]],"")</f>
        <v>2000</v>
      </c>
      <c r="M10" s="13">
        <v>45904</v>
      </c>
      <c r="N10" s="9"/>
    </row>
    <row r="11" spans="8:14" x14ac:dyDescent="0.3">
      <c r="H11" s="8">
        <v>105</v>
      </c>
      <c r="I11" s="11" t="str">
        <f>IFERROR(VLOOKUP(Tabla14[[#This Row],[Código Producto]],Inventario!$A$4:$C$12,2,0), "")</f>
        <v>Cuaderno</v>
      </c>
      <c r="J11" s="8">
        <f>IFERROR(VLOOKUP(Tabla14[[#This Row],[Código Producto]],Inventario!$A$4:$C$12,3,0),"")</f>
        <v>35</v>
      </c>
      <c r="K11">
        <v>5</v>
      </c>
      <c r="L11" s="12">
        <f>IFERROR(Tabla14[[#This Row],[Cantidad Vendida]]*Tabla14[[#This Row],[Precio del producto]],"")</f>
        <v>175</v>
      </c>
      <c r="M11" s="13">
        <v>45904</v>
      </c>
      <c r="N11" s="9"/>
    </row>
    <row r="12" spans="8:14" x14ac:dyDescent="0.3">
      <c r="H12" s="8"/>
      <c r="I12" s="11" t="str">
        <f>IFERROR(VLOOKUP(Tabla14[[#This Row],[Código Producto]],Inventario!$A$4:$C$12,2,0), "")</f>
        <v/>
      </c>
      <c r="J12" s="8" t="str">
        <f>IFERROR(VLOOKUP(Tabla14[[#This Row],[Código Producto]],Inventario!$A$4:$C$12,3,0),"")</f>
        <v/>
      </c>
      <c r="L12" s="12" t="str">
        <f>IFERROR(Tabla14[[#This Row],[Cantidad Vendida]]*Tabla14[[#This Row],[Precio del producto]],"")</f>
        <v/>
      </c>
      <c r="M12" s="13">
        <v>45904</v>
      </c>
      <c r="N12" s="9"/>
    </row>
    <row r="13" spans="8:14" x14ac:dyDescent="0.3">
      <c r="H13" s="8"/>
      <c r="I13" s="11" t="str">
        <f>IFERROR(VLOOKUP(Tabla14[[#This Row],[Código Producto]],Inventario!$A$4:$C$12,2,0), "")</f>
        <v/>
      </c>
      <c r="J13" s="8" t="str">
        <f>IFERROR(VLOOKUP(Tabla14[[#This Row],[Código Producto]],Inventario!$A$4:$C$12,3,0),"")</f>
        <v/>
      </c>
      <c r="L13" s="12" t="str">
        <f>IFERROR(Tabla14[[#This Row],[Cantidad Vendida]]*Tabla14[[#This Row],[Precio del producto]],"")</f>
        <v/>
      </c>
      <c r="M13" s="13">
        <v>45904</v>
      </c>
      <c r="N13" s="9"/>
    </row>
    <row r="14" spans="8:14" x14ac:dyDescent="0.3">
      <c r="H14" s="8">
        <v>107</v>
      </c>
      <c r="I14" s="11" t="str">
        <f>IFERROR(VLOOKUP(Tabla14[[#This Row],[Código Producto]],Inventario!$A$4:$C$12,2,0), "")</f>
        <v>Estuchera</v>
      </c>
      <c r="J14" s="8">
        <f>IFERROR(VLOOKUP(Tabla14[[#This Row],[Código Producto]],Inventario!$A$4:$C$12,3,0),"")</f>
        <v>50</v>
      </c>
      <c r="K14">
        <v>500</v>
      </c>
      <c r="L14" s="12">
        <f>IFERROR(Tabla14[[#This Row],[Cantidad Vendida]]*Tabla14[[#This Row],[Precio del producto]],"")</f>
        <v>25000</v>
      </c>
      <c r="M14" s="13">
        <v>45904</v>
      </c>
      <c r="N14" s="9"/>
    </row>
    <row r="15" spans="8:14" x14ac:dyDescent="0.3">
      <c r="H15" s="8"/>
      <c r="I15" s="11" t="str">
        <f>IFERROR(VLOOKUP(Tabla14[[#This Row],[Código Producto]],Inventario!$A$4:$C$12,2,0), "")</f>
        <v/>
      </c>
      <c r="J15" s="8" t="str">
        <f>IFERROR(VLOOKUP(Tabla14[[#This Row],[Código Producto]],Inventario!$A$4:$C$12,3,0),"")</f>
        <v/>
      </c>
      <c r="L15" s="12" t="str">
        <f>IFERROR(Tabla14[[#This Row],[Cantidad Vendida]]*Tabla14[[#This Row],[Precio del producto]],"")</f>
        <v/>
      </c>
      <c r="M15" s="13">
        <v>45904</v>
      </c>
      <c r="N15" s="9"/>
    </row>
    <row r="16" spans="8:14" x14ac:dyDescent="0.3">
      <c r="H16" s="8"/>
      <c r="I16" s="11" t="str">
        <f>IFERROR(VLOOKUP(Tabla14[[#This Row],[Código Producto]],Inventario!$A$4:$C$12,2,0), "")</f>
        <v/>
      </c>
      <c r="J16" s="8" t="str">
        <f>IFERROR(VLOOKUP(Tabla14[[#This Row],[Código Producto]],Inventario!$A$4:$C$12,3,0),"")</f>
        <v/>
      </c>
      <c r="L16" s="12" t="str">
        <f>IFERROR(Tabla14[[#This Row],[Cantidad Vendida]]*Tabla14[[#This Row],[Precio del producto]],"")</f>
        <v/>
      </c>
      <c r="M16" s="13">
        <v>45904</v>
      </c>
      <c r="N16" s="9"/>
    </row>
    <row r="17" spans="8:14" x14ac:dyDescent="0.3">
      <c r="H17" s="8"/>
      <c r="I17" s="11" t="str">
        <f>IFERROR(VLOOKUP(Tabla14[[#This Row],[Código Producto]],Inventario!$A$4:$C$12,2,0), "")</f>
        <v/>
      </c>
      <c r="J17" s="8" t="str">
        <f>IFERROR(VLOOKUP(Tabla14[[#This Row],[Código Producto]],Inventario!$A$4:$C$12,3,0),"")</f>
        <v/>
      </c>
      <c r="L17" s="12" t="str">
        <f>IFERROR(Tabla14[[#This Row],[Cantidad Vendida]]*Tabla14[[#This Row],[Precio del producto]],"")</f>
        <v/>
      </c>
      <c r="M17" s="13">
        <v>45904</v>
      </c>
      <c r="N17" s="9"/>
    </row>
    <row r="18" spans="8:14" x14ac:dyDescent="0.3">
      <c r="H18" s="8"/>
      <c r="I18" s="11" t="str">
        <f>IFERROR(VLOOKUP(Tabla14[[#This Row],[Código Producto]],Inventario!$A$4:$C$12,2,0), "")</f>
        <v/>
      </c>
      <c r="J18" s="8" t="str">
        <f>IFERROR(VLOOKUP(Tabla14[[#This Row],[Código Producto]],Inventario!$A$4:$C$12,3,0),"")</f>
        <v/>
      </c>
      <c r="L18" s="12" t="str">
        <f>IFERROR(Tabla14[[#This Row],[Cantidad Vendida]]*Tabla14[[#This Row],[Precio del producto]],"")</f>
        <v/>
      </c>
      <c r="M18" s="13">
        <v>45904</v>
      </c>
      <c r="N18" s="9"/>
    </row>
    <row r="19" spans="8:14" x14ac:dyDescent="0.3">
      <c r="H19" s="8"/>
      <c r="I19" s="11" t="str">
        <f>IFERROR(VLOOKUP(Tabla14[[#This Row],[Código Producto]],Inventario!$A$4:$C$12,2,0), "")</f>
        <v/>
      </c>
      <c r="J19" s="8" t="str">
        <f>IFERROR(VLOOKUP(Tabla14[[#This Row],[Código Producto]],Inventario!$A$4:$C$12,3,0),"")</f>
        <v/>
      </c>
      <c r="L19" s="12" t="str">
        <f>IFERROR(Tabla14[[#This Row],[Cantidad Vendida]]*Tabla14[[#This Row],[Precio del producto]],"")</f>
        <v/>
      </c>
      <c r="M19" s="13">
        <v>45904</v>
      </c>
      <c r="N19" s="9"/>
    </row>
    <row r="20" spans="8:14" x14ac:dyDescent="0.3">
      <c r="H20" s="8"/>
      <c r="I20" s="11" t="str">
        <f>IFERROR(VLOOKUP(Tabla14[[#This Row],[Código Producto]],Inventario!$A$4:$C$12,2,0), "")</f>
        <v/>
      </c>
      <c r="J20" s="8" t="str">
        <f>IFERROR(VLOOKUP(Tabla14[[#This Row],[Código Producto]],Inventario!$A$4:$C$12,3,0),"")</f>
        <v/>
      </c>
      <c r="L20" s="12" t="str">
        <f>IFERROR(Tabla14[[#This Row],[Cantidad Vendida]]*Tabla14[[#This Row],[Precio del producto]],"")</f>
        <v/>
      </c>
      <c r="M20" s="13">
        <v>45904</v>
      </c>
      <c r="N20" s="9"/>
    </row>
    <row r="21" spans="8:14" x14ac:dyDescent="0.3">
      <c r="H21" s="8"/>
      <c r="I21" s="11" t="str">
        <f>IFERROR(VLOOKUP(Tabla14[[#This Row],[Código Producto]],Inventario!$A$4:$C$12,2,0), "")</f>
        <v/>
      </c>
      <c r="J21" s="8" t="str">
        <f>IFERROR(VLOOKUP(Tabla14[[#This Row],[Código Producto]],Inventario!$A$4:$C$12,3,0),"")</f>
        <v/>
      </c>
      <c r="L21" s="12" t="str">
        <f>IFERROR(Tabla14[[#This Row],[Cantidad Vendida]]*Tabla14[[#This Row],[Precio del producto]],"")</f>
        <v/>
      </c>
      <c r="M21" s="13">
        <v>45904</v>
      </c>
      <c r="N21" s="9"/>
    </row>
    <row r="22" spans="8:14" x14ac:dyDescent="0.3">
      <c r="H22" s="8"/>
      <c r="I22" s="11" t="str">
        <f>IFERROR(VLOOKUP(Tabla14[[#This Row],[Código Producto]],Inventario!$A$4:$C$12,2,0), "")</f>
        <v/>
      </c>
      <c r="J22" s="8" t="str">
        <f>IFERROR(VLOOKUP(Tabla14[[#This Row],[Código Producto]],Inventario!$A$4:$C$12,3,0),"")</f>
        <v/>
      </c>
      <c r="L22" s="12" t="str">
        <f>IFERROR(Tabla14[[#This Row],[Cantidad Vendida]]*Tabla14[[#This Row],[Precio del producto]],"")</f>
        <v/>
      </c>
      <c r="M22" s="13">
        <v>45904</v>
      </c>
      <c r="N22" s="9"/>
    </row>
    <row r="23" spans="8:14" x14ac:dyDescent="0.3">
      <c r="H23" t="s">
        <v>16</v>
      </c>
      <c r="I23" s="6" t="s">
        <v>13</v>
      </c>
      <c r="J23" t="s">
        <v>14</v>
      </c>
      <c r="K23" t="s">
        <v>15</v>
      </c>
      <c r="L23" t="s">
        <v>18</v>
      </c>
      <c r="M23" t="s">
        <v>17</v>
      </c>
      <c r="N23" s="9"/>
    </row>
    <row r="24" spans="8:14" x14ac:dyDescent="0.3">
      <c r="H24" s="8">
        <v>108</v>
      </c>
      <c r="I24" s="11" t="str">
        <f>IFERROR(VLOOKUP(Tabla135[[#This Row],[Código Producto]],Inventario!$A$4:$C$12,2,0), "")</f>
        <v>Hojas de colores</v>
      </c>
      <c r="J24" s="8">
        <f>IFERROR(VLOOKUP(Tabla135[[#This Row],[Código Producto]],Inventario!$A$4:$C$12,3,0),"")</f>
        <v>100</v>
      </c>
      <c r="K24">
        <v>20</v>
      </c>
      <c r="L24" s="12">
        <f>IFERROR(Tabla135[[#This Row],[Cantidad Vendida]]*Tabla135[[#This Row],[Precio del producto]],"")</f>
        <v>2000</v>
      </c>
      <c r="M24" s="13">
        <v>45905</v>
      </c>
      <c r="N24" s="9"/>
    </row>
    <row r="25" spans="8:14" x14ac:dyDescent="0.3">
      <c r="H25" s="8">
        <v>105</v>
      </c>
      <c r="I25" s="11" t="str">
        <f>IFERROR(VLOOKUP(Tabla135[[#This Row],[Código Producto]],Inventario!$A$4:$C$12,2,0), "")</f>
        <v>Cuaderno</v>
      </c>
      <c r="J25" s="8">
        <f>IFERROR(VLOOKUP(Tabla135[[#This Row],[Código Producto]],Inventario!$A$4:$C$12,3,0),"")</f>
        <v>35</v>
      </c>
      <c r="K25">
        <v>5</v>
      </c>
      <c r="L25" s="12">
        <f>IFERROR(Tabla135[[#This Row],[Cantidad Vendida]]*Tabla135[[#This Row],[Precio del producto]],"")</f>
        <v>175</v>
      </c>
      <c r="M25" s="13">
        <v>45905</v>
      </c>
      <c r="N25" s="9"/>
    </row>
    <row r="26" spans="8:14" x14ac:dyDescent="0.3">
      <c r="H26" s="8"/>
      <c r="I26" s="11" t="str">
        <f>IFERROR(VLOOKUP(Tabla135[[#This Row],[Código Producto]],Inventario!$A$4:$C$12,2,0), "")</f>
        <v/>
      </c>
      <c r="J26" s="8" t="str">
        <f>IFERROR(VLOOKUP(Tabla135[[#This Row],[Código Producto]],Inventario!$A$4:$C$12,3,0),"")</f>
        <v/>
      </c>
      <c r="L26" s="12" t="str">
        <f>IFERROR(Tabla135[[#This Row],[Cantidad Vendida]]*Tabla135[[#This Row],[Precio del producto]],"")</f>
        <v/>
      </c>
      <c r="M26" s="13">
        <v>45905</v>
      </c>
      <c r="N26" s="9"/>
    </row>
    <row r="27" spans="8:14" x14ac:dyDescent="0.3">
      <c r="H27" s="8"/>
      <c r="I27" s="11" t="str">
        <f>IFERROR(VLOOKUP(Tabla135[[#This Row],[Código Producto]],Inventario!$A$4:$C$12,2,0), "")</f>
        <v/>
      </c>
      <c r="J27" s="8" t="str">
        <f>IFERROR(VLOOKUP(Tabla135[[#This Row],[Código Producto]],Inventario!$A$4:$C$12,3,0),"")</f>
        <v/>
      </c>
      <c r="L27" s="12" t="str">
        <f>IFERROR(Tabla135[[#This Row],[Cantidad Vendida]]*Tabla135[[#This Row],[Precio del producto]],"")</f>
        <v/>
      </c>
      <c r="M27" s="13">
        <v>45905</v>
      </c>
      <c r="N27" s="9"/>
    </row>
    <row r="28" spans="8:14" x14ac:dyDescent="0.3">
      <c r="H28" s="8">
        <v>107</v>
      </c>
      <c r="I28" s="11" t="str">
        <f>IFERROR(VLOOKUP(Tabla135[[#This Row],[Código Producto]],Inventario!$A$4:$C$12,2,0), "")</f>
        <v>Estuchera</v>
      </c>
      <c r="J28" s="8">
        <f>IFERROR(VLOOKUP(Tabla135[[#This Row],[Código Producto]],Inventario!$A$4:$C$12,3,0),"")</f>
        <v>50</v>
      </c>
      <c r="K28">
        <v>500</v>
      </c>
      <c r="L28" s="12">
        <f>IFERROR(Tabla135[[#This Row],[Cantidad Vendida]]*Tabla135[[#This Row],[Precio del producto]],"")</f>
        <v>25000</v>
      </c>
      <c r="M28" s="13">
        <v>45905</v>
      </c>
      <c r="N28" s="9"/>
    </row>
    <row r="29" spans="8:14" x14ac:dyDescent="0.3">
      <c r="H29" s="8"/>
      <c r="I29" s="11" t="str">
        <f>IFERROR(VLOOKUP(Tabla135[[#This Row],[Código Producto]],Inventario!$A$4:$C$12,2,0), "")</f>
        <v/>
      </c>
      <c r="J29" s="8" t="str">
        <f>IFERROR(VLOOKUP(Tabla135[[#This Row],[Código Producto]],Inventario!$A$4:$C$12,3,0),"")</f>
        <v/>
      </c>
      <c r="L29" s="12" t="str">
        <f>IFERROR(Tabla135[[#This Row],[Cantidad Vendida]]*Tabla135[[#This Row],[Precio del producto]],"")</f>
        <v/>
      </c>
      <c r="M29" s="13">
        <v>45905</v>
      </c>
      <c r="N29" s="9"/>
    </row>
    <row r="30" spans="8:14" x14ac:dyDescent="0.3">
      <c r="H30" s="8"/>
      <c r="I30" s="11" t="str">
        <f>IFERROR(VLOOKUP(Tabla135[[#This Row],[Código Producto]],Inventario!$A$4:$C$12,2,0), "")</f>
        <v/>
      </c>
      <c r="J30" s="8" t="str">
        <f>IFERROR(VLOOKUP(Tabla135[[#This Row],[Código Producto]],Inventario!$A$4:$C$12,3,0),"")</f>
        <v/>
      </c>
      <c r="L30" s="12" t="str">
        <f>IFERROR(Tabla135[[#This Row],[Cantidad Vendida]]*Tabla135[[#This Row],[Precio del producto]],"")</f>
        <v/>
      </c>
      <c r="M30" s="13">
        <v>45905</v>
      </c>
      <c r="N30" s="9"/>
    </row>
    <row r="31" spans="8:14" x14ac:dyDescent="0.3">
      <c r="H31" s="8"/>
      <c r="I31" s="11" t="str">
        <f>IFERROR(VLOOKUP(Tabla135[[#This Row],[Código Producto]],Inventario!$A$4:$C$12,2,0), "")</f>
        <v/>
      </c>
      <c r="J31" s="8" t="str">
        <f>IFERROR(VLOOKUP(Tabla135[[#This Row],[Código Producto]],Inventario!$A$4:$C$12,3,0),"")</f>
        <v/>
      </c>
      <c r="L31" s="12" t="str">
        <f>IFERROR(Tabla135[[#This Row],[Cantidad Vendida]]*Tabla135[[#This Row],[Precio del producto]],"")</f>
        <v/>
      </c>
      <c r="M31" s="13">
        <v>45905</v>
      </c>
      <c r="N31" s="9"/>
    </row>
    <row r="32" spans="8:14" x14ac:dyDescent="0.3">
      <c r="H32" s="8"/>
      <c r="I32" s="11" t="str">
        <f>IFERROR(VLOOKUP(Tabla135[[#This Row],[Código Producto]],Inventario!$A$4:$C$12,2,0), "")</f>
        <v/>
      </c>
      <c r="J32" s="8" t="str">
        <f>IFERROR(VLOOKUP(Tabla135[[#This Row],[Código Producto]],Inventario!$A$4:$C$12,3,0),"")</f>
        <v/>
      </c>
      <c r="L32" s="12" t="str">
        <f>IFERROR(Tabla135[[#This Row],[Cantidad Vendida]]*Tabla135[[#This Row],[Precio del producto]],"")</f>
        <v/>
      </c>
      <c r="M32" s="13">
        <v>45905</v>
      </c>
      <c r="N32" s="9"/>
    </row>
    <row r="33" spans="8:14" x14ac:dyDescent="0.3">
      <c r="H33" s="8"/>
      <c r="I33" s="11" t="str">
        <f>IFERROR(VLOOKUP(Tabla135[[#This Row],[Código Producto]],Inventario!$A$4:$C$12,2,0), "")</f>
        <v/>
      </c>
      <c r="J33" s="8" t="str">
        <f>IFERROR(VLOOKUP(Tabla135[[#This Row],[Código Producto]],Inventario!$A$4:$C$12,3,0),"")</f>
        <v/>
      </c>
      <c r="L33" s="12" t="str">
        <f>IFERROR(Tabla135[[#This Row],[Cantidad Vendida]]*Tabla135[[#This Row],[Precio del producto]],"")</f>
        <v/>
      </c>
      <c r="M33" s="13">
        <v>45905</v>
      </c>
      <c r="N33" s="9"/>
    </row>
    <row r="34" spans="8:14" x14ac:dyDescent="0.3">
      <c r="H34" s="8"/>
      <c r="I34" s="11" t="str">
        <f>IFERROR(VLOOKUP(Tabla135[[#This Row],[Código Producto]],Inventario!$A$4:$C$12,2,0), "")</f>
        <v/>
      </c>
      <c r="J34" s="8" t="str">
        <f>IFERROR(VLOOKUP(Tabla135[[#This Row],[Código Producto]],Inventario!$A$4:$C$12,3,0),"")</f>
        <v/>
      </c>
      <c r="L34" s="12" t="str">
        <f>IFERROR(Tabla135[[#This Row],[Cantidad Vendida]]*Tabla135[[#This Row],[Precio del producto]],"")</f>
        <v/>
      </c>
      <c r="M34" s="13">
        <v>45905</v>
      </c>
      <c r="N34" s="9"/>
    </row>
    <row r="35" spans="8:14" x14ac:dyDescent="0.3">
      <c r="H35" s="8"/>
      <c r="I35" s="11" t="str">
        <f>IFERROR(VLOOKUP(Tabla135[[#This Row],[Código Producto]],Inventario!$A$4:$C$12,2,0), "")</f>
        <v/>
      </c>
      <c r="J35" s="8" t="str">
        <f>IFERROR(VLOOKUP(Tabla135[[#This Row],[Código Producto]],Inventario!$A$4:$C$12,3,0),"")</f>
        <v/>
      </c>
      <c r="L35" s="12" t="str">
        <f>IFERROR(Tabla135[[#This Row],[Cantidad Vendida]]*Tabla135[[#This Row],[Precio del producto]],"")</f>
        <v/>
      </c>
      <c r="M35" s="13">
        <v>45905</v>
      </c>
      <c r="N35" s="9"/>
    </row>
    <row r="36" spans="8:14" x14ac:dyDescent="0.3">
      <c r="H36" s="8"/>
      <c r="I36" s="11" t="str">
        <f>IFERROR(VLOOKUP(Tabla135[[#This Row],[Código Producto]],Inventario!$A$4:$C$12,2,0), "")</f>
        <v/>
      </c>
      <c r="J36" s="8" t="str">
        <f>IFERROR(VLOOKUP(Tabla135[[#This Row],[Código Producto]],Inventario!$A$4:$C$12,3,0),"")</f>
        <v/>
      </c>
      <c r="L36" s="12" t="str">
        <f>IFERROR(Tabla135[[#This Row],[Cantidad Vendida]]*Tabla135[[#This Row],[Precio del producto]],"")</f>
        <v/>
      </c>
      <c r="M36" s="13">
        <v>45905</v>
      </c>
      <c r="N36" s="9"/>
    </row>
  </sheetData>
  <mergeCells count="3">
    <mergeCell ref="H8:M8"/>
    <mergeCell ref="N8:N22"/>
    <mergeCell ref="N23:N36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B2428D-35B0-42D7-8B49-78F2A5569DAB}">
          <x14:formula1>
            <xm:f>Inventario!$A$5:$A$12</xm:f>
          </x14:formula1>
          <xm:sqref>H10:H22 H24:H36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</vt:lpstr>
      <vt:lpstr>Ticket_Venta_4</vt:lpstr>
      <vt:lpstr>Ticket_Venta_5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Apáez</dc:creator>
  <cp:lastModifiedBy>Luis Apáez</cp:lastModifiedBy>
  <dcterms:created xsi:type="dcterms:W3CDTF">2025-09-04T19:26:03Z</dcterms:created>
  <dcterms:modified xsi:type="dcterms:W3CDTF">2025-09-04T20:06:17Z</dcterms:modified>
</cp:coreProperties>
</file>