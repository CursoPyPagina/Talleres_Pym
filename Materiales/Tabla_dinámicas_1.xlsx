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a\Documents\Cursos\Entrevistas\"/>
    </mc:Choice>
  </mc:AlternateContent>
  <xr:revisionPtr revIDLastSave="0" documentId="13_ncr:1_{09EDED27-43D3-42C4-8813-2DE407B4207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2" r:id="rId1"/>
    <sheet name="Tabla dinámica" sheetId="1" r:id="rId2"/>
    <sheet name="Hoja3" sheetId="4" r:id="rId3"/>
    <sheet name="Tabla dinámica 2" sheetId="3" r:id="rId4"/>
  </sheets>
  <definedNames>
    <definedName name="_xlnm._FilterDatabase" localSheetId="1" hidden="1">'Tabla dinámica'!$A$4:$G$20</definedName>
    <definedName name="SegmentaciónDeDatos_SEXO">#N/A</definedName>
  </definedNames>
  <calcPr calcId="191029"/>
  <pivotCaches>
    <pivotCache cacheId="3" r:id="rId5"/>
    <pivotCache cacheId="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3" l="1"/>
  <c r="H20" i="3" s="1"/>
  <c r="F19" i="3"/>
  <c r="H19" i="3" s="1"/>
  <c r="F18" i="3"/>
  <c r="H18" i="3" s="1"/>
  <c r="F17" i="3"/>
  <c r="H17" i="3" s="1"/>
  <c r="F16" i="3"/>
  <c r="H16" i="3" s="1"/>
  <c r="F15" i="3"/>
  <c r="H15" i="3" s="1"/>
  <c r="H14" i="3"/>
  <c r="F13" i="3"/>
  <c r="H13" i="3" s="1"/>
  <c r="F12" i="3"/>
  <c r="H12" i="3" s="1"/>
  <c r="F11" i="3"/>
  <c r="H11" i="3" s="1"/>
  <c r="F10" i="3"/>
  <c r="H10" i="3" s="1"/>
  <c r="F9" i="3"/>
  <c r="H9" i="3" s="1"/>
  <c r="F8" i="3"/>
  <c r="H8" i="3" s="1"/>
  <c r="F7" i="3"/>
  <c r="H7" i="3" s="1"/>
  <c r="F6" i="3"/>
  <c r="H6" i="3" s="1"/>
  <c r="F5" i="3"/>
  <c r="H5" i="3" s="1"/>
  <c r="G14" i="1" l="1"/>
  <c r="E6" i="1"/>
  <c r="G6" i="1" s="1"/>
  <c r="E7" i="1"/>
  <c r="G7" i="1" s="1"/>
  <c r="E8" i="1"/>
  <c r="G8" i="1" s="1"/>
  <c r="G9" i="1"/>
  <c r="G10" i="1"/>
  <c r="E11" i="1"/>
  <c r="G11" i="1" s="1"/>
  <c r="E12" i="1"/>
  <c r="G12" i="1" s="1"/>
  <c r="E13" i="1"/>
  <c r="G13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5" i="1"/>
  <c r="G5" i="1" s="1"/>
</calcChain>
</file>

<file path=xl/sharedStrings.xml><?xml version="1.0" encoding="utf-8"?>
<sst xmlns="http://schemas.openxmlformats.org/spreadsheetml/2006/main" count="141" uniqueCount="49">
  <si>
    <t>BASE DE DATOS CLIENTES</t>
  </si>
  <si>
    <t>CEDULA</t>
  </si>
  <si>
    <t>SEXO</t>
  </si>
  <si>
    <t>CARGO</t>
  </si>
  <si>
    <t>SUELDO BASICO</t>
  </si>
  <si>
    <t>TOTAL SUEDO</t>
  </si>
  <si>
    <t>NOMBRES Y APELLIDOS</t>
  </si>
  <si>
    <t>DIAS TRAB.</t>
  </si>
  <si>
    <t>MASCULINO</t>
  </si>
  <si>
    <t>FEMENINO</t>
  </si>
  <si>
    <t>SECRETARIA/O</t>
  </si>
  <si>
    <t>Dostin Hurtado</t>
  </si>
  <si>
    <t>Sandy Olivera</t>
  </si>
  <si>
    <t>Oscar Hurtado</t>
  </si>
  <si>
    <t>Tatiana aya</t>
  </si>
  <si>
    <t>Luis Ramirez</t>
  </si>
  <si>
    <t>Carlos Cedeño</t>
  </si>
  <si>
    <t>Omar Corredor</t>
  </si>
  <si>
    <t>Carlos Andres</t>
  </si>
  <si>
    <t>Fuckencio Martinez</t>
  </si>
  <si>
    <t>Edgar Ortiz</t>
  </si>
  <si>
    <t>Alberto Ochoa</t>
  </si>
  <si>
    <t>Alejandra Guzman</t>
  </si>
  <si>
    <t>Jenny Colmenares</t>
  </si>
  <si>
    <t>Nelsy Pico</t>
  </si>
  <si>
    <t>Erika Herrera</t>
  </si>
  <si>
    <t>Trollencio Gimenes</t>
  </si>
  <si>
    <t>INGENIERO</t>
  </si>
  <si>
    <t>ORIENTADOR/A</t>
  </si>
  <si>
    <t>ECONOMISTA</t>
  </si>
  <si>
    <t>ABOGADO/A</t>
  </si>
  <si>
    <t>GERENTE</t>
  </si>
  <si>
    <t>Etiquetas de fila</t>
  </si>
  <si>
    <t>Total general</t>
  </si>
  <si>
    <t>Suma de SUELDO BASICO</t>
  </si>
  <si>
    <t>Suma de TOTAL SUEDO</t>
  </si>
  <si>
    <t>(Todas)</t>
  </si>
  <si>
    <t>Fecha</t>
  </si>
  <si>
    <t>01-ene</t>
  </si>
  <si>
    <t>02-ene</t>
  </si>
  <si>
    <t>03-ene</t>
  </si>
  <si>
    <t>04-ene</t>
  </si>
  <si>
    <t>06-ene</t>
  </si>
  <si>
    <t>07-ene</t>
  </si>
  <si>
    <t>08-ene</t>
  </si>
  <si>
    <t>15-ene</t>
  </si>
  <si>
    <t>CURP</t>
  </si>
  <si>
    <t>Cuenta de CARGO</t>
  </si>
  <si>
    <t>SELECT * FROM TablaDinamica ORDER BY Cuenta de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</si>
</sst>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0" xfId="0" pivotButton="1"/>
    <xf numFmtId="14" fontId="0" fillId="0" borderId="1" xfId="1" applyNumberFormat="1" applyFont="1" applyBorder="1"/>
    <xf numFmtId="14" fontId="0" fillId="0" borderId="0" xfId="0" applyNumberFormat="1" applyAlignment="1">
      <alignment horizontal="left"/>
    </xf>
    <xf numFmtId="165" fontId="0" fillId="0" borderId="0" xfId="0" applyNumberForma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Millares" xfId="1" builtinId="3"/>
    <cellStyle name="Normal" xfId="0" builtinId="0"/>
  </cellStyles>
  <dxfs count="2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[Tabla_dinámicas_1.xlsx]Hoja1!Tabla 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Hoja1!$A$4</c:f>
              <c:strCache>
                <c:ptCount val="1"/>
                <c:pt idx="0">
                  <c:v>Suma de SUELDO BASICO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Hoja1!$A$5</c:f>
              <c:numCache>
                <c:formatCode>General</c:formatCode>
                <c:ptCount val="1"/>
                <c:pt idx="0">
                  <c:v>50200000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B-4C44-964F-07D3B3F003ED}"/>
            </c:ext>
          </c:extLst>
        </c:ser>
        <c:ser>
          <c:idx val="1"/>
          <c:order val="1"/>
          <c:tx>
            <c:strRef>
              <c:f>Hoja1!$B$4</c:f>
              <c:strCache>
                <c:ptCount val="1"/>
                <c:pt idx="0">
                  <c:v>Suma de TOTAL SUEDO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Hoja1!$B$5</c:f>
              <c:numCache>
                <c:formatCode>General</c:formatCode>
                <c:ptCount val="1"/>
                <c:pt idx="0">
                  <c:v>33613333.333333336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5B-4C44-964F-07D3B3F00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034192"/>
        <c:axId val="1241036368"/>
      </c:barChart>
      <c:catAx>
        <c:axId val="124103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1036368"/>
        <c:crosses val="autoZero"/>
        <c:auto val="1"/>
        <c:lblAlgn val="ctr"/>
        <c:lblOffset val="100"/>
        <c:noMultiLvlLbl val="0"/>
      </c:catAx>
      <c:valAx>
        <c:axId val="124103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103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[Tabla_dinámicas_1.xlsx]Tabla dinámica!TablaDinámica1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71892261305926"/>
          <c:y val="5.1103368176538912E-2"/>
          <c:w val="0.7448138399854628"/>
          <c:h val="0.841123030352913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 dinámica'!$M$4</c:f>
              <c:strCache>
                <c:ptCount val="1"/>
                <c:pt idx="0">
                  <c:v>Suma de SUELDO BASICO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dinámica'!$L$5:$L$11</c:f>
              <c:strCache>
                <c:ptCount val="6"/>
                <c:pt idx="0">
                  <c:v>GERENTE</c:v>
                </c:pt>
                <c:pt idx="1">
                  <c:v>ORIENTADOR/A</c:v>
                </c:pt>
                <c:pt idx="2">
                  <c:v>ECONOMISTA</c:v>
                </c:pt>
                <c:pt idx="3">
                  <c:v>INGENIERO</c:v>
                </c:pt>
                <c:pt idx="4">
                  <c:v>ABOGADO/A</c:v>
                </c:pt>
                <c:pt idx="5">
                  <c:v>SECRETARIA/O</c:v>
                </c:pt>
              </c:strCache>
            </c:strRef>
          </c:cat>
          <c:val>
            <c:numRef>
              <c:f>'Tabla dinámica'!$M$5:$M$11</c:f>
              <c:numCache>
                <c:formatCode>_(* #,##0_);_(* \(#,##0\);_(* "-"??_);_(@_)</c:formatCode>
                <c:ptCount val="6"/>
                <c:pt idx="0">
                  <c:v>7200000</c:v>
                </c:pt>
                <c:pt idx="1">
                  <c:v>6400000</c:v>
                </c:pt>
                <c:pt idx="2">
                  <c:v>14400000</c:v>
                </c:pt>
                <c:pt idx="3">
                  <c:v>9600000</c:v>
                </c:pt>
                <c:pt idx="4">
                  <c:v>5400000</c:v>
                </c:pt>
                <c:pt idx="5">
                  <c:v>7200000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2-4B7B-959D-9E6D8A9CCA57}"/>
            </c:ext>
          </c:extLst>
        </c:ser>
        <c:ser>
          <c:idx val="1"/>
          <c:order val="1"/>
          <c:tx>
            <c:strRef>
              <c:f>'Tabla dinámica'!$N$4</c:f>
              <c:strCache>
                <c:ptCount val="1"/>
                <c:pt idx="0">
                  <c:v>Cuenta de CARGO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 dinámica'!$L$5:$L$11</c:f>
              <c:strCache>
                <c:ptCount val="6"/>
                <c:pt idx="0">
                  <c:v>GERENTE</c:v>
                </c:pt>
                <c:pt idx="1">
                  <c:v>ORIENTADOR/A</c:v>
                </c:pt>
                <c:pt idx="2">
                  <c:v>ECONOMISTA</c:v>
                </c:pt>
                <c:pt idx="3">
                  <c:v>INGENIERO</c:v>
                </c:pt>
                <c:pt idx="4">
                  <c:v>ABOGADO/A</c:v>
                </c:pt>
                <c:pt idx="5">
                  <c:v>SECRETARIA/O</c:v>
                </c:pt>
              </c:strCache>
            </c:strRef>
          </c:cat>
          <c:val>
            <c:numRef>
              <c:f>'Tabla dinámica'!$N$5:$N$11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2-4B7B-959D-9E6D8A9CC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5158272"/>
        <c:axId val="2035158752"/>
      </c:barChart>
      <c:catAx>
        <c:axId val="2035158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5158752"/>
        <c:crosses val="autoZero"/>
        <c:auto val="1"/>
        <c:lblAlgn val="ctr"/>
        <c:lblOffset val="100"/>
        <c:noMultiLvlLbl val="0"/>
      </c:catAx>
      <c:valAx>
        <c:axId val="2035158752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515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4761</xdr:rowOff>
    </xdr:from>
    <xdr:to>
      <xdr:col>3</xdr:col>
      <xdr:colOff>57150</xdr:colOff>
      <xdr:row>21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396240</xdr:colOff>
      <xdr:row>12</xdr:row>
      <xdr:rowOff>40957</xdr:rowOff>
    </xdr:from>
    <xdr:to>
      <xdr:col>15</xdr:col>
      <xdr:colOff>257174</xdr:colOff>
      <xdr:row>27</xdr:row>
      <xdr:rowOff>56197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BC1B27-AF8F-B093-C76E-5C11EC6E0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74295</xdr:colOff>
      <xdr:row>2</xdr:row>
      <xdr:rowOff>81915</xdr:rowOff>
    </xdr:from>
    <xdr:to>
      <xdr:col>10</xdr:col>
      <xdr:colOff>333375</xdr:colOff>
      <xdr:row>16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XO">
              <a:extLst>
                <a:ext uri="{FF2B5EF4-FFF2-40B4-BE49-F238E27FC236}">
                  <a16:creationId xmlns:a16="http://schemas.microsoft.com/office/drawing/2014/main" id="{D1C2B30A-0BF6-726E-D95D-E8ACE23D3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6345" y="493395"/>
              <a:ext cx="1838325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4998.682119560188" createdVersion="5" refreshedVersion="5" minRefreshableVersion="3" recordCount="16" xr:uid="{00000000-000A-0000-FFFF-FFFF01000000}">
  <cacheSource type="worksheet">
    <worksheetSource ref="A4:H20" sheet="Tabla dinámica 2"/>
  </cacheSource>
  <cacheFields count="8">
    <cacheField name="Fecha" numFmtId="14">
      <sharedItems containsSemiMixedTypes="0" containsNonDate="0" containsDate="1" containsString="0" minDate="2023-01-01T00:00:00" maxDate="2023-01-17T00:00:00" count="16">
        <d v="2023-01-01T00:00:00"/>
        <d v="2023-01-02T00:00:00"/>
        <d v="2023-01-03T00:00:00"/>
        <d v="2023-01-04T00:00:00"/>
        <d v="2023-01-06T00:00:00"/>
        <d v="2023-01-07T00:00:00"/>
        <d v="2023-01-08T00:00:00"/>
        <d v="2023-01-15T00:00:00"/>
        <d v="2023-01-11T00:00:00" u="1"/>
        <d v="2023-01-16T00:00:00" u="1"/>
        <d v="2023-01-09T00:00:00" u="1"/>
        <d v="2023-01-14T00:00:00" u="1"/>
        <d v="2023-01-12T00:00:00" u="1"/>
        <d v="2023-01-05T00:00:00" u="1"/>
        <d v="2023-01-10T00:00:00" u="1"/>
        <d v="2023-01-13T00:00:00" u="1"/>
      </sharedItems>
      <fieldGroup base="0">
        <rangePr groupBy="days" startDate="2023-01-01T00:00:00" endDate="2023-01-17T00:00:00"/>
        <groupItems count="368">
          <s v="&lt;01/01/2023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7/01/2023"/>
        </groupItems>
      </fieldGroup>
    </cacheField>
    <cacheField name="CEDULA" numFmtId="165">
      <sharedItems containsSemiMixedTypes="0" containsString="0" containsNumber="1" containsInteger="1" minValue="1121885" maxValue="1121900"/>
    </cacheField>
    <cacheField name="NOMBRES Y APELLIDOS" numFmtId="0">
      <sharedItems/>
    </cacheField>
    <cacheField name="SEXO" numFmtId="0">
      <sharedItems/>
    </cacheField>
    <cacheField name="CARGO" numFmtId="0">
      <sharedItems/>
    </cacheField>
    <cacheField name="SUELDO BASICO" numFmtId="165">
      <sharedItems containsSemiMixedTypes="0" containsString="0" containsNumber="1" containsInteger="1" minValue="1800000" maxValue="4000000"/>
    </cacheField>
    <cacheField name="DIAS TRAB." numFmtId="165">
      <sharedItems containsSemiMixedTypes="0" containsString="0" containsNumber="1" containsInteger="1" minValue="10" maxValue="30"/>
    </cacheField>
    <cacheField name="TOTAL SUEDO" numFmtId="165">
      <sharedItems containsSemiMixedTypes="0" containsString="0" containsNumber="1" minValue="720000" maxValue="3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páez" refreshedDate="45904.907059375" createdVersion="5" refreshedVersion="8" minRefreshableVersion="3" recordCount="16" xr:uid="{00000000-000A-0000-FFFF-FFFF00000000}">
  <cacheSource type="worksheet">
    <worksheetSource ref="A4:G20" sheet="Tabla dinámica"/>
  </cacheSource>
  <cacheFields count="7">
    <cacheField name="CURP" numFmtId="165">
      <sharedItems containsSemiMixedTypes="0" containsString="0" containsNumber="1" containsInteger="1" minValue="1121885" maxValue="1121900"/>
    </cacheField>
    <cacheField name="NOMBRES Y APELLIDOS" numFmtId="0">
      <sharedItems/>
    </cacheField>
    <cacheField name="SEXO" numFmtId="0">
      <sharedItems count="2">
        <s v="MASCULINO"/>
        <s v="FEMENINO"/>
      </sharedItems>
    </cacheField>
    <cacheField name="CARGO" numFmtId="0">
      <sharedItems count="6">
        <s v="INGENIERO"/>
        <s v="ORIENTADOR/A"/>
        <s v="SECRETARIA/O"/>
        <s v="ECONOMISTA"/>
        <s v="ABOGADO/A"/>
        <s v="GERENTE"/>
      </sharedItems>
    </cacheField>
    <cacheField name="SUELDO BASICO" numFmtId="165">
      <sharedItems containsSemiMixedTypes="0" containsString="0" containsNumber="1" containsInteger="1" minValue="1800000" maxValue="7200000"/>
    </cacheField>
    <cacheField name="DIAS TRAB." numFmtId="165">
      <sharedItems containsSemiMixedTypes="0" containsString="0" containsNumber="1" containsInteger="1" minValue="10" maxValue="30"/>
    </cacheField>
    <cacheField name="TOTAL SUEDO" numFmtId="165">
      <sharedItems containsSemiMixedTypes="0" containsString="0" containsNumber="1" minValue="720000" maxValue="6000000"/>
    </cacheField>
  </cacheFields>
  <extLst>
    <ext xmlns:x14="http://schemas.microsoft.com/office/spreadsheetml/2009/9/main" uri="{725AE2AE-9491-48be-B2B4-4EB974FC3084}">
      <x14:pivotCacheDefinition pivotCacheId="5039288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1121885"/>
    <s v="Dostin Hurtado"/>
    <s v="MASCULINO"/>
    <s v="INGENIERO"/>
    <n v="3200000"/>
    <n v="30"/>
    <n v="3200000"/>
  </r>
  <r>
    <x v="1"/>
    <n v="1121886"/>
    <s v="Sandy Olivera"/>
    <s v="FEMENINO"/>
    <s v="ORIENTADOR/A"/>
    <n v="3200000"/>
    <n v="18"/>
    <n v="1920000"/>
  </r>
  <r>
    <x v="2"/>
    <n v="1121887"/>
    <s v="Oscar Hurtado"/>
    <s v="MASCULINO"/>
    <s v="ORIENTADOR/A"/>
    <n v="3200000"/>
    <n v="19"/>
    <n v="2026666.6666666667"/>
  </r>
  <r>
    <x v="3"/>
    <n v="1121888"/>
    <s v="Tatiana aya"/>
    <s v="FEMENINO"/>
    <s v="SECRETARIA/O"/>
    <n v="1800000"/>
    <n v="28"/>
    <n v="1680000"/>
  </r>
  <r>
    <x v="1"/>
    <n v="1121889"/>
    <s v="Luis Ramirez"/>
    <s v="MASCULINO"/>
    <s v="ECONOMISTA"/>
    <n v="1800000"/>
    <n v="15"/>
    <n v="900000"/>
  </r>
  <r>
    <x v="4"/>
    <n v="1121890"/>
    <s v="Carlos Cedeño"/>
    <s v="MASCULINO"/>
    <s v="ECONOMISTA"/>
    <n v="1800000"/>
    <n v="25"/>
    <n v="1500000"/>
  </r>
  <r>
    <x v="5"/>
    <n v="1121891"/>
    <s v="Omar Corredor"/>
    <s v="MASCULINO"/>
    <s v="INGENIERO"/>
    <n v="3200000"/>
    <n v="10"/>
    <n v="1066666.6666666667"/>
  </r>
  <r>
    <x v="6"/>
    <n v="1121892"/>
    <s v="Carlos Andres"/>
    <s v="MASCULINO"/>
    <s v="ABOGADO/A"/>
    <n v="1800000"/>
    <n v="12"/>
    <n v="720000"/>
  </r>
  <r>
    <x v="1"/>
    <n v="1121893"/>
    <s v="Fuckencio Martinez"/>
    <s v="MASCULINO"/>
    <s v="ABOGADO/A"/>
    <n v="1800000"/>
    <n v="14"/>
    <n v="840000"/>
  </r>
  <r>
    <x v="5"/>
    <n v="1121894"/>
    <s v="Edgar Ortiz"/>
    <s v="MASCULINO"/>
    <s v="GERENTE"/>
    <n v="4000000"/>
    <n v="16"/>
    <n v="2133333.3333333335"/>
  </r>
  <r>
    <x v="5"/>
    <n v="1121895"/>
    <s v="Alberto Ochoa"/>
    <s v="MASCULINO"/>
    <s v="GERENTE"/>
    <n v="3200000"/>
    <n v="18"/>
    <n v="1920000"/>
  </r>
  <r>
    <x v="5"/>
    <n v="1121896"/>
    <s v="Alejandra Guzman"/>
    <s v="FEMENINO"/>
    <s v="SECRETARIA/O"/>
    <n v="1800000"/>
    <n v="20"/>
    <n v="1200000"/>
  </r>
  <r>
    <x v="2"/>
    <n v="1121897"/>
    <s v="Jenny Colmenares"/>
    <s v="FEMENINO"/>
    <s v="SECRETARIA/O"/>
    <n v="1800000"/>
    <n v="22"/>
    <n v="1320000"/>
  </r>
  <r>
    <x v="2"/>
    <n v="1121898"/>
    <s v="Nelsy Pico"/>
    <s v="FEMENINO"/>
    <s v="SECRETARIA/O"/>
    <n v="1800000"/>
    <n v="24"/>
    <n v="1440000"/>
  </r>
  <r>
    <x v="7"/>
    <n v="1121899"/>
    <s v="Erika Herrera"/>
    <s v="FEMENINO"/>
    <s v="ABOGADO/A"/>
    <n v="1800000"/>
    <n v="26"/>
    <n v="1560000"/>
  </r>
  <r>
    <x v="2"/>
    <n v="1121900"/>
    <s v="Trollencio Gimenes"/>
    <s v="MASCULINO"/>
    <s v="INGENIERO"/>
    <n v="3200000"/>
    <n v="28"/>
    <n v="2986666.6666666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121885"/>
    <s v="Dostin Hurtado"/>
    <x v="0"/>
    <x v="0"/>
    <n v="3200000"/>
    <n v="30"/>
    <n v="3200000"/>
  </r>
  <r>
    <n v="1121886"/>
    <s v="Sandy Olivera"/>
    <x v="1"/>
    <x v="1"/>
    <n v="3200000"/>
    <n v="18"/>
    <n v="1920000"/>
  </r>
  <r>
    <n v="1121887"/>
    <s v="Oscar Hurtado"/>
    <x v="0"/>
    <x v="1"/>
    <n v="3200000"/>
    <n v="19"/>
    <n v="2026666.6666666667"/>
  </r>
  <r>
    <n v="1121888"/>
    <s v="Tatiana aya"/>
    <x v="1"/>
    <x v="2"/>
    <n v="1800000"/>
    <n v="28"/>
    <n v="1680000"/>
  </r>
  <r>
    <n v="1121889"/>
    <s v="Luis Ramirez"/>
    <x v="0"/>
    <x v="3"/>
    <n v="7200000"/>
    <n v="15"/>
    <n v="3600000"/>
  </r>
  <r>
    <n v="1121890"/>
    <s v="Carlos Cedeño"/>
    <x v="0"/>
    <x v="3"/>
    <n v="7200000"/>
    <n v="25"/>
    <n v="6000000"/>
  </r>
  <r>
    <n v="1121891"/>
    <s v="Omar Corredor"/>
    <x v="0"/>
    <x v="0"/>
    <n v="3200000"/>
    <n v="10"/>
    <n v="1066666.6666666667"/>
  </r>
  <r>
    <n v="1121892"/>
    <s v="Carlos Andres"/>
    <x v="0"/>
    <x v="4"/>
    <n v="1800000"/>
    <n v="12"/>
    <n v="720000"/>
  </r>
  <r>
    <n v="1121893"/>
    <s v="Fuckencio Martinez"/>
    <x v="0"/>
    <x v="4"/>
    <n v="1800000"/>
    <n v="14"/>
    <n v="840000"/>
  </r>
  <r>
    <n v="1121894"/>
    <s v="Edgar Ortiz"/>
    <x v="0"/>
    <x v="5"/>
    <n v="4000000"/>
    <n v="16"/>
    <n v="2133333.3333333335"/>
  </r>
  <r>
    <n v="1121895"/>
    <s v="Alberto Ochoa"/>
    <x v="0"/>
    <x v="5"/>
    <n v="3200000"/>
    <n v="18"/>
    <n v="1920000"/>
  </r>
  <r>
    <n v="1121896"/>
    <s v="Alejandra Guzman"/>
    <x v="1"/>
    <x v="2"/>
    <n v="1800000"/>
    <n v="20"/>
    <n v="1200000"/>
  </r>
  <r>
    <n v="1121897"/>
    <s v="Jenny Colmenares"/>
    <x v="1"/>
    <x v="2"/>
    <n v="1800000"/>
    <n v="22"/>
    <n v="1320000"/>
  </r>
  <r>
    <n v="1121898"/>
    <s v="Nelsy Pico"/>
    <x v="1"/>
    <x v="2"/>
    <n v="1800000"/>
    <n v="24"/>
    <n v="1440000"/>
  </r>
  <r>
    <n v="1121899"/>
    <s v="Erika Herrera"/>
    <x v="1"/>
    <x v="4"/>
    <n v="1800000"/>
    <n v="26"/>
    <n v="1560000"/>
  </r>
  <r>
    <n v="1121900"/>
    <s v="Trollencio Gimenes"/>
    <x v="0"/>
    <x v="0"/>
    <n v="3200000"/>
    <n v="28"/>
    <n v="2986666.6666666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2">
  <location ref="A4:B5" firstHeaderRow="0" firstDataRow="1" firstDataCol="0" rowPageCount="2" colPageCount="1"/>
  <pivotFields count="7">
    <pivotField numFmtId="165" showAll="0"/>
    <pivotField showAll="0"/>
    <pivotField axis="axisPage" showAll="0">
      <items count="3">
        <item x="1"/>
        <item x="0"/>
        <item t="default"/>
      </items>
    </pivotField>
    <pivotField axis="axisPage" showAll="0">
      <items count="7">
        <item x="4"/>
        <item x="3"/>
        <item x="5"/>
        <item x="0"/>
        <item x="1"/>
        <item x="2"/>
        <item t="default"/>
      </items>
    </pivotField>
    <pivotField dataField="1" numFmtId="165" showAll="0"/>
    <pivotField numFmtId="165" showAll="0"/>
    <pivotField dataField="1" numFmtId="165" showAl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3" hier="-1"/>
    <pageField fld="2" hier="-1"/>
  </pageFields>
  <dataFields count="2">
    <dataField name="Suma de SUELDO BASICO" fld="4" baseField="0" baseItem="0"/>
    <dataField name="Suma de TOTAL SUEDO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85AB9-5E16-421E-9BF2-0F4377F14709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2">
  <location ref="L4:N11" firstHeaderRow="0" firstDataRow="1" firstDataCol="1"/>
  <pivotFields count="7">
    <pivotField numFmtId="165" showAll="0"/>
    <pivotField showAll="0"/>
    <pivotField showAll="0">
      <items count="3">
        <item x="1"/>
        <item x="0"/>
        <item t="default"/>
      </items>
    </pivotField>
    <pivotField axis="axisRow" dataField="1" showAll="0" sortType="ascending">
      <items count="7">
        <item x="4"/>
        <item x="3"/>
        <item x="5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165" showAll="0"/>
    <pivotField numFmtId="165" showAll="0"/>
    <pivotField numFmtId="165" showAll="0"/>
  </pivotFields>
  <rowFields count="1">
    <field x="3"/>
  </rowFields>
  <rowItems count="7">
    <i>
      <x v="2"/>
    </i>
    <i>
      <x v="4"/>
    </i>
    <i>
      <x v="1"/>
    </i>
    <i>
      <x v="3"/>
    </i>
    <i>
      <x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UELDO BASICO" fld="4" baseField="3" baseItem="0" numFmtId="165"/>
    <dataField name="Cuenta de CARGO" fld="3" subtotal="count" baseField="0" baseItem="0"/>
  </dataFields>
  <formats count="2"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 dinámica9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C12" firstHeaderRow="0" firstDataRow="1" firstDataCol="1"/>
  <pivotFields count="8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5" showAll="0"/>
    <pivotField showAll="0"/>
    <pivotField showAll="0"/>
    <pivotField showAll="0"/>
    <pivotField dataField="1" numFmtId="165" showAll="0"/>
    <pivotField numFmtId="165" showAll="0"/>
    <pivotField dataField="1" numFmtId="165" showAll="0"/>
  </pivotFields>
  <rowFields count="1">
    <field x="0"/>
  </rowFields>
  <rowItems count="9">
    <i>
      <x v="1"/>
    </i>
    <i>
      <x v="2"/>
    </i>
    <i>
      <x v="3"/>
    </i>
    <i>
      <x v="4"/>
    </i>
    <i>
      <x v="6"/>
    </i>
    <i>
      <x v="7"/>
    </i>
    <i>
      <x v="8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UELDO BASICO" fld="5" baseField="0" baseItem="0"/>
    <dataField name="Suma de TOTAL SUEDO" fld="7" baseField="0" baseItem="0"/>
  </dataFields>
  <formats count="1">
    <format dxfId="22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" xr10:uid="{E410AF15-2BC4-4B28-93FB-3AD4B2C18C53}" sourceName="SEXO">
  <pivotTables>
    <pivotTable tabId="1" name="TablaDinámica1"/>
  </pivotTables>
  <data>
    <tabular pivotCacheId="503928843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O" xr10:uid="{A9CB0B51-8FB6-43BC-BF97-202EB45F4A6F}" cache="SegmentaciónDeDatos_SEXO" caption="SEXO" rowHeight="2349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5"/>
  <sheetViews>
    <sheetView workbookViewId="0">
      <selection activeCell="F10" sqref="F10"/>
    </sheetView>
  </sheetViews>
  <sheetFormatPr baseColWidth="10" defaultRowHeight="14.4" x14ac:dyDescent="0.3"/>
  <cols>
    <col min="1" max="1" width="22.6640625" bestFit="1" customWidth="1"/>
    <col min="2" max="2" width="20.77734375" bestFit="1" customWidth="1"/>
    <col min="3" max="3" width="21.44140625" bestFit="1" customWidth="1"/>
  </cols>
  <sheetData>
    <row r="1" spans="1:2" x14ac:dyDescent="0.3">
      <c r="A1" s="4" t="s">
        <v>3</v>
      </c>
      <c r="B1" t="s">
        <v>36</v>
      </c>
    </row>
    <row r="2" spans="1:2" x14ac:dyDescent="0.3">
      <c r="A2" s="4" t="s">
        <v>2</v>
      </c>
      <c r="B2" t="s">
        <v>36</v>
      </c>
    </row>
    <row r="4" spans="1:2" x14ac:dyDescent="0.3">
      <c r="A4" t="s">
        <v>34</v>
      </c>
      <c r="B4" t="s">
        <v>35</v>
      </c>
    </row>
    <row r="5" spans="1:2" x14ac:dyDescent="0.3">
      <c r="A5" s="10">
        <v>50200000</v>
      </c>
      <c r="B5" s="10">
        <v>33613333.333333336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20"/>
  <sheetViews>
    <sheetView showGridLines="0" tabSelected="1" topLeftCell="B1" workbookViewId="0">
      <selection activeCell="M12" sqref="M12"/>
    </sheetView>
  </sheetViews>
  <sheetFormatPr baseColWidth="10" defaultRowHeight="14.4" x14ac:dyDescent="0.3"/>
  <cols>
    <col min="1" max="1" width="15.6640625" customWidth="1"/>
    <col min="2" max="2" width="26.109375" customWidth="1"/>
    <col min="3" max="5" width="15.6640625" customWidth="1"/>
    <col min="6" max="6" width="12" customWidth="1"/>
    <col min="7" max="7" width="15.6640625" customWidth="1"/>
    <col min="12" max="12" width="17.109375" bestFit="1" customWidth="1"/>
    <col min="13" max="13" width="22.6640625" style="11" bestFit="1" customWidth="1"/>
    <col min="14" max="14" width="16.5546875" bestFit="1" customWidth="1"/>
  </cols>
  <sheetData>
    <row r="1" spans="1:14" ht="18" x14ac:dyDescent="0.35">
      <c r="A1" s="8" t="s">
        <v>0</v>
      </c>
      <c r="B1" s="8"/>
      <c r="C1" s="8"/>
      <c r="D1" s="8"/>
      <c r="E1" s="8"/>
      <c r="F1" s="8"/>
      <c r="G1" s="8"/>
    </row>
    <row r="4" spans="1:14" x14ac:dyDescent="0.3">
      <c r="A4" s="1" t="s">
        <v>46</v>
      </c>
      <c r="B4" s="1" t="s">
        <v>6</v>
      </c>
      <c r="C4" s="1" t="s">
        <v>2</v>
      </c>
      <c r="D4" s="1" t="s">
        <v>3</v>
      </c>
      <c r="E4" s="1" t="s">
        <v>4</v>
      </c>
      <c r="F4" s="1" t="s">
        <v>7</v>
      </c>
      <c r="G4" s="1" t="s">
        <v>5</v>
      </c>
      <c r="L4" s="4" t="s">
        <v>32</v>
      </c>
      <c r="M4" s="11" t="s">
        <v>34</v>
      </c>
      <c r="N4" t="s">
        <v>47</v>
      </c>
    </row>
    <row r="5" spans="1:14" x14ac:dyDescent="0.3">
      <c r="A5" s="3">
        <v>1121885</v>
      </c>
      <c r="B5" s="2" t="s">
        <v>11</v>
      </c>
      <c r="C5" s="2" t="s">
        <v>8</v>
      </c>
      <c r="D5" s="2" t="s">
        <v>27</v>
      </c>
      <c r="E5" s="3">
        <f>IF(OR(D5="SECRETARIA/O",D5="ECONOMISTA",D5="ABOGADO/A",),1800000,3200000)</f>
        <v>3200000</v>
      </c>
      <c r="F5" s="3">
        <v>30</v>
      </c>
      <c r="G5" s="3">
        <f>(E5/30)*F5</f>
        <v>3200000</v>
      </c>
      <c r="L5" s="9" t="s">
        <v>31</v>
      </c>
      <c r="M5" s="12">
        <v>7200000</v>
      </c>
      <c r="N5" s="10">
        <v>2</v>
      </c>
    </row>
    <row r="6" spans="1:14" x14ac:dyDescent="0.3">
      <c r="A6" s="3">
        <v>1121886</v>
      </c>
      <c r="B6" s="2" t="s">
        <v>12</v>
      </c>
      <c r="C6" s="2" t="s">
        <v>9</v>
      </c>
      <c r="D6" s="2" t="s">
        <v>28</v>
      </c>
      <c r="E6" s="3">
        <f t="shared" ref="E6:E20" si="0">IF(OR(D6="SECRETARIA/O",D6="ECONOMISTA",D6="ABOGADO/A",),1800000,3200000)</f>
        <v>3200000</v>
      </c>
      <c r="F6" s="3">
        <v>18</v>
      </c>
      <c r="G6" s="3">
        <f t="shared" ref="G6:G20" si="1">(E6/30)*F6</f>
        <v>1920000</v>
      </c>
      <c r="L6" s="9" t="s">
        <v>28</v>
      </c>
      <c r="M6" s="12">
        <v>6400000</v>
      </c>
      <c r="N6" s="10">
        <v>2</v>
      </c>
    </row>
    <row r="7" spans="1:14" x14ac:dyDescent="0.3">
      <c r="A7" s="3">
        <v>1121887</v>
      </c>
      <c r="B7" s="2" t="s">
        <v>13</v>
      </c>
      <c r="C7" s="2" t="s">
        <v>8</v>
      </c>
      <c r="D7" s="2" t="s">
        <v>28</v>
      </c>
      <c r="E7" s="3">
        <f t="shared" si="0"/>
        <v>3200000</v>
      </c>
      <c r="F7" s="3">
        <v>19</v>
      </c>
      <c r="G7" s="3">
        <f t="shared" si="1"/>
        <v>2026666.6666666667</v>
      </c>
      <c r="L7" s="9" t="s">
        <v>29</v>
      </c>
      <c r="M7" s="12">
        <v>14400000</v>
      </c>
      <c r="N7" s="10">
        <v>2</v>
      </c>
    </row>
    <row r="8" spans="1:14" x14ac:dyDescent="0.3">
      <c r="A8" s="3">
        <v>1121888</v>
      </c>
      <c r="B8" s="2" t="s">
        <v>14</v>
      </c>
      <c r="C8" s="2" t="s">
        <v>9</v>
      </c>
      <c r="D8" s="2" t="s">
        <v>10</v>
      </c>
      <c r="E8" s="3">
        <f t="shared" si="0"/>
        <v>1800000</v>
      </c>
      <c r="F8" s="3">
        <v>28</v>
      </c>
      <c r="G8" s="3">
        <f t="shared" si="1"/>
        <v>1680000</v>
      </c>
      <c r="L8" s="9" t="s">
        <v>27</v>
      </c>
      <c r="M8" s="12">
        <v>9600000</v>
      </c>
      <c r="N8" s="10">
        <v>3</v>
      </c>
    </row>
    <row r="9" spans="1:14" x14ac:dyDescent="0.3">
      <c r="A9" s="3">
        <v>1121889</v>
      </c>
      <c r="B9" s="2" t="s">
        <v>15</v>
      </c>
      <c r="C9" s="2" t="s">
        <v>8</v>
      </c>
      <c r="D9" s="2" t="s">
        <v>29</v>
      </c>
      <c r="E9" s="3">
        <v>7200000</v>
      </c>
      <c r="F9" s="3">
        <v>15</v>
      </c>
      <c r="G9" s="3">
        <f t="shared" si="1"/>
        <v>3600000</v>
      </c>
      <c r="L9" s="9" t="s">
        <v>30</v>
      </c>
      <c r="M9" s="12">
        <v>5400000</v>
      </c>
      <c r="N9" s="10">
        <v>3</v>
      </c>
    </row>
    <row r="10" spans="1:14" x14ac:dyDescent="0.3">
      <c r="A10" s="3">
        <v>1121890</v>
      </c>
      <c r="B10" s="2" t="s">
        <v>16</v>
      </c>
      <c r="C10" s="2" t="s">
        <v>8</v>
      </c>
      <c r="D10" s="2" t="s">
        <v>29</v>
      </c>
      <c r="E10" s="3">
        <v>7200000</v>
      </c>
      <c r="F10" s="3">
        <v>25</v>
      </c>
      <c r="G10" s="3">
        <f t="shared" si="1"/>
        <v>6000000</v>
      </c>
      <c r="L10" s="9" t="s">
        <v>10</v>
      </c>
      <c r="M10" s="12">
        <v>7200000</v>
      </c>
      <c r="N10" s="10">
        <v>4</v>
      </c>
    </row>
    <row r="11" spans="1:14" x14ac:dyDescent="0.3">
      <c r="A11" s="3">
        <v>1121891</v>
      </c>
      <c r="B11" s="2" t="s">
        <v>17</v>
      </c>
      <c r="C11" s="2" t="s">
        <v>8</v>
      </c>
      <c r="D11" s="2" t="s">
        <v>27</v>
      </c>
      <c r="E11" s="3">
        <f t="shared" si="0"/>
        <v>3200000</v>
      </c>
      <c r="F11" s="3">
        <v>10</v>
      </c>
      <c r="G11" s="3">
        <f t="shared" si="1"/>
        <v>1066666.6666666667</v>
      </c>
      <c r="L11" s="9" t="s">
        <v>33</v>
      </c>
      <c r="M11" s="12">
        <v>50200000</v>
      </c>
      <c r="N11" s="10">
        <v>16</v>
      </c>
    </row>
    <row r="12" spans="1:14" x14ac:dyDescent="0.3">
      <c r="A12" s="3">
        <v>1121892</v>
      </c>
      <c r="B12" s="2" t="s">
        <v>18</v>
      </c>
      <c r="C12" s="2" t="s">
        <v>8</v>
      </c>
      <c r="D12" s="2" t="s">
        <v>30</v>
      </c>
      <c r="E12" s="3">
        <f t="shared" si="0"/>
        <v>1800000</v>
      </c>
      <c r="F12" s="3">
        <v>12</v>
      </c>
      <c r="G12" s="3">
        <f t="shared" si="1"/>
        <v>720000</v>
      </c>
    </row>
    <row r="13" spans="1:14" x14ac:dyDescent="0.3">
      <c r="A13" s="3">
        <v>1121893</v>
      </c>
      <c r="B13" s="2" t="s">
        <v>19</v>
      </c>
      <c r="C13" s="2" t="s">
        <v>8</v>
      </c>
      <c r="D13" s="2" t="s">
        <v>30</v>
      </c>
      <c r="E13" s="3">
        <f t="shared" si="0"/>
        <v>1800000</v>
      </c>
      <c r="F13" s="3">
        <v>14</v>
      </c>
      <c r="G13" s="3">
        <f t="shared" si="1"/>
        <v>840000</v>
      </c>
    </row>
    <row r="14" spans="1:14" x14ac:dyDescent="0.3">
      <c r="A14" s="3">
        <v>1121894</v>
      </c>
      <c r="B14" s="2" t="s">
        <v>20</v>
      </c>
      <c r="C14" s="2" t="s">
        <v>8</v>
      </c>
      <c r="D14" s="2" t="s">
        <v>31</v>
      </c>
      <c r="E14" s="3">
        <v>4000000</v>
      </c>
      <c r="F14" s="3">
        <v>16</v>
      </c>
      <c r="G14" s="3">
        <f t="shared" si="1"/>
        <v>2133333.3333333335</v>
      </c>
    </row>
    <row r="15" spans="1:14" x14ac:dyDescent="0.3">
      <c r="A15" s="3">
        <v>1121895</v>
      </c>
      <c r="B15" s="2" t="s">
        <v>21</v>
      </c>
      <c r="C15" s="2" t="s">
        <v>8</v>
      </c>
      <c r="D15" s="2" t="s">
        <v>31</v>
      </c>
      <c r="E15" s="3">
        <f t="shared" si="0"/>
        <v>3200000</v>
      </c>
      <c r="F15" s="3">
        <v>18</v>
      </c>
      <c r="G15" s="3">
        <f t="shared" si="1"/>
        <v>1920000</v>
      </c>
    </row>
    <row r="16" spans="1:14" x14ac:dyDescent="0.3">
      <c r="A16" s="3">
        <v>1121896</v>
      </c>
      <c r="B16" s="2" t="s">
        <v>22</v>
      </c>
      <c r="C16" s="2" t="s">
        <v>9</v>
      </c>
      <c r="D16" s="2" t="s">
        <v>10</v>
      </c>
      <c r="E16" s="3">
        <f t="shared" si="0"/>
        <v>1800000</v>
      </c>
      <c r="F16" s="3">
        <v>20</v>
      </c>
      <c r="G16" s="3">
        <f t="shared" si="1"/>
        <v>1200000</v>
      </c>
      <c r="M16" s="13" t="s">
        <v>48</v>
      </c>
    </row>
    <row r="17" spans="1:7" x14ac:dyDescent="0.3">
      <c r="A17" s="3">
        <v>1121897</v>
      </c>
      <c r="B17" s="2" t="s">
        <v>23</v>
      </c>
      <c r="C17" s="2" t="s">
        <v>9</v>
      </c>
      <c r="D17" s="2" t="s">
        <v>10</v>
      </c>
      <c r="E17" s="3">
        <f t="shared" si="0"/>
        <v>1800000</v>
      </c>
      <c r="F17" s="3">
        <v>22</v>
      </c>
      <c r="G17" s="3">
        <f t="shared" si="1"/>
        <v>1320000</v>
      </c>
    </row>
    <row r="18" spans="1:7" x14ac:dyDescent="0.3">
      <c r="A18" s="3">
        <v>1121898</v>
      </c>
      <c r="B18" s="2" t="s">
        <v>24</v>
      </c>
      <c r="C18" s="2" t="s">
        <v>9</v>
      </c>
      <c r="D18" s="2" t="s">
        <v>10</v>
      </c>
      <c r="E18" s="3">
        <f t="shared" si="0"/>
        <v>1800000</v>
      </c>
      <c r="F18" s="3">
        <v>24</v>
      </c>
      <c r="G18" s="3">
        <f t="shared" si="1"/>
        <v>1440000</v>
      </c>
    </row>
    <row r="19" spans="1:7" x14ac:dyDescent="0.3">
      <c r="A19" s="3">
        <v>1121899</v>
      </c>
      <c r="B19" s="2" t="s">
        <v>25</v>
      </c>
      <c r="C19" s="2" t="s">
        <v>9</v>
      </c>
      <c r="D19" s="2" t="s">
        <v>30</v>
      </c>
      <c r="E19" s="3">
        <f t="shared" si="0"/>
        <v>1800000</v>
      </c>
      <c r="F19" s="3">
        <v>26</v>
      </c>
      <c r="G19" s="3">
        <f t="shared" si="1"/>
        <v>1560000</v>
      </c>
    </row>
    <row r="20" spans="1:7" x14ac:dyDescent="0.3">
      <c r="A20" s="3">
        <v>1121900</v>
      </c>
      <c r="B20" s="2" t="s">
        <v>26</v>
      </c>
      <c r="C20" s="2" t="s">
        <v>8</v>
      </c>
      <c r="D20" s="2" t="s">
        <v>27</v>
      </c>
      <c r="E20" s="3">
        <f t="shared" si="0"/>
        <v>3200000</v>
      </c>
      <c r="F20" s="3">
        <v>28</v>
      </c>
      <c r="G20" s="3">
        <f t="shared" si="1"/>
        <v>2986666.666666667</v>
      </c>
    </row>
  </sheetData>
  <autoFilter ref="A4:G20" xr:uid="{00000000-0009-0000-0000-000001000000}"/>
  <mergeCells count="1">
    <mergeCell ref="A1:G1"/>
  </mergeCells>
  <dataValidations count="4">
    <dataValidation type="textLength" allowBlank="1" showInputMessage="1" showErrorMessage="1" sqref="A5:A20" xr:uid="{00000000-0002-0000-0100-000000000000}">
      <formula1>0</formula1>
      <formula2>10</formula2>
    </dataValidation>
    <dataValidation type="list" errorStyle="information" allowBlank="1" showInputMessage="1" showErrorMessage="1" errorTitle="CUIDADO" error="POR FAVOR SOLO ELIGE UN DATO DE LA LISTA." promptTitle="GENERO" prompt="Por favor elige un genero de la lista." sqref="C5:C20" xr:uid="{00000000-0002-0000-0100-000001000000}">
      <formula1>"FEMENINO,MASCULINO,OTRO"</formula1>
    </dataValidation>
    <dataValidation type="decimal" operator="greaterThanOrEqual" allowBlank="1" showInputMessage="1" showErrorMessage="1" sqref="E5:G20" xr:uid="{00000000-0002-0000-0100-000002000000}">
      <formula1>0</formula1>
    </dataValidation>
    <dataValidation type="list" allowBlank="1" showInputMessage="1" showErrorMessage="1" sqref="D5:D20" xr:uid="{00000000-0002-0000-0100-000003000000}">
      <formula1>"GERENTE,SECRETARIA/O,ABOGADO/A,ORIENTADOR/A,ECONOMISTA,INGENIERO"</formula1>
    </dataValidation>
  </dataValidation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3:C12"/>
  <sheetViews>
    <sheetView workbookViewId="0">
      <selection activeCell="B16" sqref="B16"/>
    </sheetView>
  </sheetViews>
  <sheetFormatPr baseColWidth="10" defaultRowHeight="14.4" x14ac:dyDescent="0.3"/>
  <cols>
    <col min="1" max="1" width="17.5546875" bestFit="1" customWidth="1"/>
    <col min="2" max="2" width="23.33203125" bestFit="1" customWidth="1"/>
    <col min="3" max="3" width="21.44140625" bestFit="1" customWidth="1"/>
  </cols>
  <sheetData>
    <row r="3" spans="1:3" x14ac:dyDescent="0.3">
      <c r="A3" s="4" t="s">
        <v>32</v>
      </c>
      <c r="B3" t="s">
        <v>34</v>
      </c>
      <c r="C3" t="s">
        <v>35</v>
      </c>
    </row>
    <row r="4" spans="1:3" x14ac:dyDescent="0.3">
      <c r="A4" s="6" t="s">
        <v>38</v>
      </c>
      <c r="B4" s="7">
        <v>3200000</v>
      </c>
      <c r="C4" s="7">
        <v>3200000</v>
      </c>
    </row>
    <row r="5" spans="1:3" x14ac:dyDescent="0.3">
      <c r="A5" s="6" t="s">
        <v>39</v>
      </c>
      <c r="B5" s="7">
        <v>6800000</v>
      </c>
      <c r="C5" s="7">
        <v>3660000</v>
      </c>
    </row>
    <row r="6" spans="1:3" x14ac:dyDescent="0.3">
      <c r="A6" s="6" t="s">
        <v>40</v>
      </c>
      <c r="B6" s="7">
        <v>10000000</v>
      </c>
      <c r="C6" s="7">
        <v>7773333.333333334</v>
      </c>
    </row>
    <row r="7" spans="1:3" x14ac:dyDescent="0.3">
      <c r="A7" s="6" t="s">
        <v>41</v>
      </c>
      <c r="B7" s="7">
        <v>1800000</v>
      </c>
      <c r="C7" s="7">
        <v>1680000</v>
      </c>
    </row>
    <row r="8" spans="1:3" x14ac:dyDescent="0.3">
      <c r="A8" s="6" t="s">
        <v>42</v>
      </c>
      <c r="B8" s="7">
        <v>1800000</v>
      </c>
      <c r="C8" s="7">
        <v>1500000</v>
      </c>
    </row>
    <row r="9" spans="1:3" x14ac:dyDescent="0.3">
      <c r="A9" s="6" t="s">
        <v>43</v>
      </c>
      <c r="B9" s="7">
        <v>12200000</v>
      </c>
      <c r="C9" s="7">
        <v>6320000</v>
      </c>
    </row>
    <row r="10" spans="1:3" x14ac:dyDescent="0.3">
      <c r="A10" s="6" t="s">
        <v>44</v>
      </c>
      <c r="B10" s="7">
        <v>1800000</v>
      </c>
      <c r="C10" s="7">
        <v>720000</v>
      </c>
    </row>
    <row r="11" spans="1:3" x14ac:dyDescent="0.3">
      <c r="A11" s="6" t="s">
        <v>45</v>
      </c>
      <c r="B11" s="7">
        <v>1800000</v>
      </c>
      <c r="C11" s="7">
        <v>1560000</v>
      </c>
    </row>
    <row r="12" spans="1:3" x14ac:dyDescent="0.3">
      <c r="A12" s="6" t="s">
        <v>33</v>
      </c>
      <c r="B12">
        <v>39400000</v>
      </c>
      <c r="C12">
        <v>26413333.333333336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4:H20"/>
  <sheetViews>
    <sheetView workbookViewId="0">
      <selection activeCell="A5" sqref="A5:A20"/>
    </sheetView>
  </sheetViews>
  <sheetFormatPr baseColWidth="10" defaultRowHeight="14.4" x14ac:dyDescent="0.3"/>
  <cols>
    <col min="3" max="3" width="21.6640625" bestFit="1" customWidth="1"/>
    <col min="4" max="4" width="11.6640625" bestFit="1" customWidth="1"/>
    <col min="5" max="5" width="14.88671875" bestFit="1" customWidth="1"/>
    <col min="6" max="6" width="15" bestFit="1" customWidth="1"/>
    <col min="7" max="7" width="10.6640625" bestFit="1" customWidth="1"/>
    <col min="8" max="8" width="13.109375" bestFit="1" customWidth="1"/>
  </cols>
  <sheetData>
    <row r="4" spans="1:8" x14ac:dyDescent="0.3">
      <c r="A4" s="1" t="s">
        <v>37</v>
      </c>
      <c r="B4" s="1" t="s">
        <v>1</v>
      </c>
      <c r="C4" s="1" t="s">
        <v>6</v>
      </c>
      <c r="D4" s="1" t="s">
        <v>2</v>
      </c>
      <c r="E4" s="1" t="s">
        <v>3</v>
      </c>
      <c r="F4" s="1" t="s">
        <v>4</v>
      </c>
      <c r="G4" s="1" t="s">
        <v>7</v>
      </c>
      <c r="H4" s="1" t="s">
        <v>5</v>
      </c>
    </row>
    <row r="5" spans="1:8" x14ac:dyDescent="0.3">
      <c r="A5" s="5">
        <v>44927</v>
      </c>
      <c r="B5" s="3">
        <v>1121885</v>
      </c>
      <c r="C5" s="2" t="s">
        <v>11</v>
      </c>
      <c r="D5" s="2" t="s">
        <v>8</v>
      </c>
      <c r="E5" s="2" t="s">
        <v>27</v>
      </c>
      <c r="F5" s="3">
        <f>IF(OR(E5="SECRETARIA/O",E5="ECONOMISTA",E5="ABOGADO/A",),1800000,3200000)</f>
        <v>3200000</v>
      </c>
      <c r="G5" s="3">
        <v>30</v>
      </c>
      <c r="H5" s="3">
        <f>(F5/30)*G5</f>
        <v>3200000</v>
      </c>
    </row>
    <row r="6" spans="1:8" x14ac:dyDescent="0.3">
      <c r="A6" s="5">
        <v>44928</v>
      </c>
      <c r="B6" s="3">
        <v>1121886</v>
      </c>
      <c r="C6" s="2" t="s">
        <v>12</v>
      </c>
      <c r="D6" s="2" t="s">
        <v>9</v>
      </c>
      <c r="E6" s="2" t="s">
        <v>28</v>
      </c>
      <c r="F6" s="3">
        <f t="shared" ref="F6:F20" si="0">IF(OR(E6="SECRETARIA/O",E6="ECONOMISTA",E6="ABOGADO/A",),1800000,3200000)</f>
        <v>3200000</v>
      </c>
      <c r="G6" s="3">
        <v>18</v>
      </c>
      <c r="H6" s="3">
        <f t="shared" ref="H6:H20" si="1">(F6/30)*G6</f>
        <v>1920000</v>
      </c>
    </row>
    <row r="7" spans="1:8" x14ac:dyDescent="0.3">
      <c r="A7" s="5">
        <v>44929</v>
      </c>
      <c r="B7" s="3">
        <v>1121887</v>
      </c>
      <c r="C7" s="2" t="s">
        <v>13</v>
      </c>
      <c r="D7" s="2" t="s">
        <v>8</v>
      </c>
      <c r="E7" s="2" t="s">
        <v>28</v>
      </c>
      <c r="F7" s="3">
        <f t="shared" si="0"/>
        <v>3200000</v>
      </c>
      <c r="G7" s="3">
        <v>19</v>
      </c>
      <c r="H7" s="3">
        <f t="shared" si="1"/>
        <v>2026666.6666666667</v>
      </c>
    </row>
    <row r="8" spans="1:8" x14ac:dyDescent="0.3">
      <c r="A8" s="5">
        <v>44930</v>
      </c>
      <c r="B8" s="3">
        <v>1121888</v>
      </c>
      <c r="C8" s="2" t="s">
        <v>14</v>
      </c>
      <c r="D8" s="2" t="s">
        <v>9</v>
      </c>
      <c r="E8" s="2" t="s">
        <v>10</v>
      </c>
      <c r="F8" s="3">
        <f t="shared" si="0"/>
        <v>1800000</v>
      </c>
      <c r="G8" s="3">
        <v>28</v>
      </c>
      <c r="H8" s="3">
        <f t="shared" si="1"/>
        <v>1680000</v>
      </c>
    </row>
    <row r="9" spans="1:8" x14ac:dyDescent="0.3">
      <c r="A9" s="5">
        <v>44928</v>
      </c>
      <c r="B9" s="3">
        <v>1121889</v>
      </c>
      <c r="C9" s="2" t="s">
        <v>15</v>
      </c>
      <c r="D9" s="2" t="s">
        <v>8</v>
      </c>
      <c r="E9" s="2" t="s">
        <v>29</v>
      </c>
      <c r="F9" s="3">
        <f t="shared" si="0"/>
        <v>1800000</v>
      </c>
      <c r="G9" s="3">
        <v>15</v>
      </c>
      <c r="H9" s="3">
        <f t="shared" si="1"/>
        <v>900000</v>
      </c>
    </row>
    <row r="10" spans="1:8" x14ac:dyDescent="0.3">
      <c r="A10" s="5">
        <v>44932</v>
      </c>
      <c r="B10" s="3">
        <v>1121890</v>
      </c>
      <c r="C10" s="2" t="s">
        <v>16</v>
      </c>
      <c r="D10" s="2" t="s">
        <v>8</v>
      </c>
      <c r="E10" s="2" t="s">
        <v>29</v>
      </c>
      <c r="F10" s="3">
        <f t="shared" si="0"/>
        <v>1800000</v>
      </c>
      <c r="G10" s="3">
        <v>25</v>
      </c>
      <c r="H10" s="3">
        <f t="shared" si="1"/>
        <v>1500000</v>
      </c>
    </row>
    <row r="11" spans="1:8" x14ac:dyDescent="0.3">
      <c r="A11" s="5">
        <v>44933</v>
      </c>
      <c r="B11" s="3">
        <v>1121891</v>
      </c>
      <c r="C11" s="2" t="s">
        <v>17</v>
      </c>
      <c r="D11" s="2" t="s">
        <v>8</v>
      </c>
      <c r="E11" s="2" t="s">
        <v>27</v>
      </c>
      <c r="F11" s="3">
        <f t="shared" si="0"/>
        <v>3200000</v>
      </c>
      <c r="G11" s="3">
        <v>10</v>
      </c>
      <c r="H11" s="3">
        <f t="shared" si="1"/>
        <v>1066666.6666666667</v>
      </c>
    </row>
    <row r="12" spans="1:8" x14ac:dyDescent="0.3">
      <c r="A12" s="5">
        <v>44934</v>
      </c>
      <c r="B12" s="3">
        <v>1121892</v>
      </c>
      <c r="C12" s="2" t="s">
        <v>18</v>
      </c>
      <c r="D12" s="2" t="s">
        <v>8</v>
      </c>
      <c r="E12" s="2" t="s">
        <v>30</v>
      </c>
      <c r="F12" s="3">
        <f t="shared" si="0"/>
        <v>1800000</v>
      </c>
      <c r="G12" s="3">
        <v>12</v>
      </c>
      <c r="H12" s="3">
        <f t="shared" si="1"/>
        <v>720000</v>
      </c>
    </row>
    <row r="13" spans="1:8" x14ac:dyDescent="0.3">
      <c r="A13" s="5">
        <v>44928</v>
      </c>
      <c r="B13" s="3">
        <v>1121893</v>
      </c>
      <c r="C13" s="2" t="s">
        <v>19</v>
      </c>
      <c r="D13" s="2" t="s">
        <v>8</v>
      </c>
      <c r="E13" s="2" t="s">
        <v>30</v>
      </c>
      <c r="F13" s="3">
        <f t="shared" si="0"/>
        <v>1800000</v>
      </c>
      <c r="G13" s="3">
        <v>14</v>
      </c>
      <c r="H13" s="3">
        <f t="shared" si="1"/>
        <v>840000</v>
      </c>
    </row>
    <row r="14" spans="1:8" x14ac:dyDescent="0.3">
      <c r="A14" s="5">
        <v>44933</v>
      </c>
      <c r="B14" s="3">
        <v>1121894</v>
      </c>
      <c r="C14" s="2" t="s">
        <v>20</v>
      </c>
      <c r="D14" s="2" t="s">
        <v>8</v>
      </c>
      <c r="E14" s="2" t="s">
        <v>31</v>
      </c>
      <c r="F14" s="3">
        <v>4000000</v>
      </c>
      <c r="G14" s="3">
        <v>16</v>
      </c>
      <c r="H14" s="3">
        <f t="shared" si="1"/>
        <v>2133333.3333333335</v>
      </c>
    </row>
    <row r="15" spans="1:8" x14ac:dyDescent="0.3">
      <c r="A15" s="5">
        <v>44933</v>
      </c>
      <c r="B15" s="3">
        <v>1121895</v>
      </c>
      <c r="C15" s="2" t="s">
        <v>21</v>
      </c>
      <c r="D15" s="2" t="s">
        <v>8</v>
      </c>
      <c r="E15" s="2" t="s">
        <v>31</v>
      </c>
      <c r="F15" s="3">
        <f t="shared" si="0"/>
        <v>3200000</v>
      </c>
      <c r="G15" s="3">
        <v>18</v>
      </c>
      <c r="H15" s="3">
        <f t="shared" si="1"/>
        <v>1920000</v>
      </c>
    </row>
    <row r="16" spans="1:8" x14ac:dyDescent="0.3">
      <c r="A16" s="5">
        <v>44933</v>
      </c>
      <c r="B16" s="3">
        <v>1121896</v>
      </c>
      <c r="C16" s="2" t="s">
        <v>22</v>
      </c>
      <c r="D16" s="2" t="s">
        <v>9</v>
      </c>
      <c r="E16" s="2" t="s">
        <v>10</v>
      </c>
      <c r="F16" s="3">
        <f t="shared" si="0"/>
        <v>1800000</v>
      </c>
      <c r="G16" s="3">
        <v>20</v>
      </c>
      <c r="H16" s="3">
        <f t="shared" si="1"/>
        <v>1200000</v>
      </c>
    </row>
    <row r="17" spans="1:8" x14ac:dyDescent="0.3">
      <c r="A17" s="5">
        <v>44929</v>
      </c>
      <c r="B17" s="3">
        <v>1121897</v>
      </c>
      <c r="C17" s="2" t="s">
        <v>23</v>
      </c>
      <c r="D17" s="2" t="s">
        <v>9</v>
      </c>
      <c r="E17" s="2" t="s">
        <v>10</v>
      </c>
      <c r="F17" s="3">
        <f t="shared" si="0"/>
        <v>1800000</v>
      </c>
      <c r="G17" s="3">
        <v>22</v>
      </c>
      <c r="H17" s="3">
        <f t="shared" si="1"/>
        <v>1320000</v>
      </c>
    </row>
    <row r="18" spans="1:8" x14ac:dyDescent="0.3">
      <c r="A18" s="5">
        <v>44929</v>
      </c>
      <c r="B18" s="3">
        <v>1121898</v>
      </c>
      <c r="C18" s="2" t="s">
        <v>24</v>
      </c>
      <c r="D18" s="2" t="s">
        <v>9</v>
      </c>
      <c r="E18" s="2" t="s">
        <v>10</v>
      </c>
      <c r="F18" s="3">
        <f t="shared" si="0"/>
        <v>1800000</v>
      </c>
      <c r="G18" s="3">
        <v>24</v>
      </c>
      <c r="H18" s="3">
        <f t="shared" si="1"/>
        <v>1440000</v>
      </c>
    </row>
    <row r="19" spans="1:8" x14ac:dyDescent="0.3">
      <c r="A19" s="5">
        <v>44941</v>
      </c>
      <c r="B19" s="3">
        <v>1121899</v>
      </c>
      <c r="C19" s="2" t="s">
        <v>25</v>
      </c>
      <c r="D19" s="2" t="s">
        <v>9</v>
      </c>
      <c r="E19" s="2" t="s">
        <v>30</v>
      </c>
      <c r="F19" s="3">
        <f t="shared" si="0"/>
        <v>1800000</v>
      </c>
      <c r="G19" s="3">
        <v>26</v>
      </c>
      <c r="H19" s="3">
        <f t="shared" si="1"/>
        <v>1560000</v>
      </c>
    </row>
    <row r="20" spans="1:8" x14ac:dyDescent="0.3">
      <c r="A20" s="5">
        <v>44929</v>
      </c>
      <c r="B20" s="3">
        <v>1121900</v>
      </c>
      <c r="C20" s="2" t="s">
        <v>26</v>
      </c>
      <c r="D20" s="2" t="s">
        <v>8</v>
      </c>
      <c r="E20" s="2" t="s">
        <v>27</v>
      </c>
      <c r="F20" s="3">
        <f t="shared" si="0"/>
        <v>3200000</v>
      </c>
      <c r="G20" s="3">
        <v>28</v>
      </c>
      <c r="H20" s="3">
        <f t="shared" si="1"/>
        <v>2986666.666666667</v>
      </c>
    </row>
  </sheetData>
  <dataValidations count="4">
    <dataValidation type="list" allowBlank="1" showInputMessage="1" showErrorMessage="1" sqref="E5:E20" xr:uid="{00000000-0002-0000-0300-000000000000}">
      <formula1>"GERENTE,SECRETARIA/O,ABOGADO/A,ORIENTADOR/A,ECONOMISTA,INGENIERO"</formula1>
    </dataValidation>
    <dataValidation type="decimal" operator="greaterThanOrEqual" allowBlank="1" showInputMessage="1" showErrorMessage="1" sqref="F5:H20" xr:uid="{00000000-0002-0000-0300-000001000000}">
      <formula1>0</formula1>
    </dataValidation>
    <dataValidation type="list" errorStyle="information" allowBlank="1" showInputMessage="1" showErrorMessage="1" errorTitle="CUIDADO" error="POR FAVOR SOLO ELIGE UN DATO DE LA LISTA." promptTitle="GENERO" prompt="Por favor elige un genero de la lista." sqref="D5:D20" xr:uid="{00000000-0002-0000-0300-000002000000}">
      <formula1>"FEMENINO,MASCULINO,OTRO"</formula1>
    </dataValidation>
    <dataValidation type="textLength" allowBlank="1" showInputMessage="1" showErrorMessage="1" sqref="A5:B20" xr:uid="{00000000-0002-0000-0300-00000300000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Tabla dinámica</vt:lpstr>
      <vt:lpstr>Hoja3</vt:lpstr>
      <vt:lpstr>Tabla dinámica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Unidos</dc:creator>
  <cp:lastModifiedBy>Luis Apáez</cp:lastModifiedBy>
  <dcterms:created xsi:type="dcterms:W3CDTF">2013-11-11T16:14:00Z</dcterms:created>
  <dcterms:modified xsi:type="dcterms:W3CDTF">2025-09-05T03:48:50Z</dcterms:modified>
</cp:coreProperties>
</file>