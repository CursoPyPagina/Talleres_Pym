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43db15f0bc9159c/Documentos/"/>
    </mc:Choice>
  </mc:AlternateContent>
  <xr:revisionPtr revIDLastSave="1" documentId="8_{C8222163-4456-4A73-988E-BF53868474ED}" xr6:coauthVersionLast="47" xr6:coauthVersionMax="47" xr10:uidLastSave="{3FBFB070-B279-41B7-9D9D-1AD2C2A6119B}"/>
  <bookViews>
    <workbookView xWindow="-110" yWindow="-110" windowWidth="25820" windowHeight="14020" firstSheet="1" activeTab="3" xr2:uid="{58B4259A-4FA5-4628-9940-E98FC2181DC6}"/>
  </bookViews>
  <sheets>
    <sheet name="BuscarV Ejercicio" sheetId="2" r:id="rId1"/>
    <sheet name="Funciones Anidadas" sheetId="3" r:id="rId2"/>
    <sheet name="Gráfico Dinámico" sheetId="7" r:id="rId3"/>
    <sheet name="Macro" sheetId="9" r:id="rId4"/>
    <sheet name="BuscarV Solución" sheetId="1" r:id="rId5"/>
    <sheet name="Funciones Anidades Solución" sheetId="4" r:id="rId6"/>
    <sheet name="Gráfico Dinámico Solución" sheetId="6" r:id="rId7"/>
    <sheet name="Macro Solución" sheetId="10" r:id="rId8"/>
  </sheets>
  <definedNames>
    <definedName name="_xlnm._FilterDatabase" localSheetId="1" hidden="1">'Funciones Anidadas'!$A$2:$J$2</definedName>
    <definedName name="_xlnm._FilterDatabase" localSheetId="5" hidden="1">'Funciones Anidades Solución'!$A$2:$L$2</definedName>
    <definedName name="_xlnm._FilterDatabase" localSheetId="3" hidden="1">Macro!$A$7:$E$24</definedName>
    <definedName name="_xlnm._FilterDatabase" localSheetId="7" hidden="1">'Macro Solución'!$A$7:$E$25</definedName>
  </definedNames>
  <calcPr calcId="191029"/>
  <pivotCaches>
    <pivotCache cacheId="4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0" l="1"/>
  <c r="A4" i="10"/>
  <c r="E4" i="9"/>
  <c r="A4" i="9"/>
  <c r="L188" i="4"/>
  <c r="L187" i="4"/>
  <c r="L186" i="4"/>
  <c r="L185" i="4"/>
  <c r="L184" i="4"/>
  <c r="L183" i="4"/>
  <c r="L182" i="4"/>
  <c r="L181" i="4"/>
  <c r="L180" i="4"/>
  <c r="L179" i="4"/>
  <c r="L178" i="4"/>
  <c r="L177" i="4"/>
  <c r="L176" i="4"/>
  <c r="L175" i="4"/>
  <c r="L174" i="4"/>
  <c r="L173" i="4"/>
  <c r="L172" i="4"/>
  <c r="L171" i="4"/>
  <c r="L170" i="4"/>
  <c r="L169" i="4"/>
  <c r="L168" i="4"/>
  <c r="L167" i="4"/>
  <c r="L166" i="4"/>
  <c r="L165" i="4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I6" i="4"/>
  <c r="J6" i="4" s="1"/>
  <c r="K6" i="4" s="1"/>
  <c r="J3" i="4"/>
  <c r="J183" i="4"/>
  <c r="J177" i="4"/>
  <c r="J171" i="4"/>
  <c r="J165" i="4"/>
  <c r="J159" i="4"/>
  <c r="J153" i="4"/>
  <c r="J147" i="4"/>
  <c r="J141" i="4"/>
  <c r="J135" i="4"/>
  <c r="J129" i="4"/>
  <c r="J123" i="4"/>
  <c r="J117" i="4"/>
  <c r="J111" i="4"/>
  <c r="J105" i="4"/>
  <c r="J99" i="4"/>
  <c r="J93" i="4"/>
  <c r="J87" i="4"/>
  <c r="J81" i="4"/>
  <c r="J75" i="4"/>
  <c r="J69" i="4"/>
  <c r="J63" i="4"/>
  <c r="J57" i="4"/>
  <c r="J51" i="4"/>
  <c r="J45" i="4"/>
  <c r="J39" i="4"/>
  <c r="J33" i="4"/>
  <c r="J27" i="4"/>
  <c r="J21" i="4"/>
  <c r="J15" i="4"/>
  <c r="J9" i="4"/>
  <c r="J4" i="4"/>
  <c r="K3" i="4"/>
  <c r="I3" i="4"/>
  <c r="K187" i="4"/>
  <c r="K186" i="4"/>
  <c r="K185" i="4"/>
  <c r="K184" i="4"/>
  <c r="K181" i="4"/>
  <c r="K178" i="4"/>
  <c r="K175" i="4"/>
  <c r="K168" i="4"/>
  <c r="K167" i="4"/>
  <c r="K166" i="4"/>
  <c r="K162" i="4"/>
  <c r="K158" i="4"/>
  <c r="K157" i="4"/>
  <c r="K155" i="4"/>
  <c r="K154" i="4"/>
  <c r="K151" i="4"/>
  <c r="K150" i="4"/>
  <c r="K144" i="4"/>
  <c r="K142" i="4"/>
  <c r="K139" i="4"/>
  <c r="K138" i="4"/>
  <c r="K136" i="4"/>
  <c r="K135" i="4"/>
  <c r="K134" i="4"/>
  <c r="K133" i="4"/>
  <c r="K132" i="4"/>
  <c r="K130" i="4"/>
  <c r="K128" i="4"/>
  <c r="K127" i="4"/>
  <c r="K125" i="4"/>
  <c r="K123" i="4"/>
  <c r="K119" i="4"/>
  <c r="K118" i="4"/>
  <c r="K116" i="4"/>
  <c r="K115" i="4"/>
  <c r="K114" i="4"/>
  <c r="K112" i="4"/>
  <c r="K111" i="4"/>
  <c r="K109" i="4"/>
  <c r="K107" i="4"/>
  <c r="K106" i="4"/>
  <c r="K105" i="4"/>
  <c r="K104" i="4"/>
  <c r="K103" i="4"/>
  <c r="K101" i="4"/>
  <c r="K100" i="4"/>
  <c r="K97" i="4"/>
  <c r="K96" i="4"/>
  <c r="K94" i="4"/>
  <c r="K90" i="4"/>
  <c r="K88" i="4"/>
  <c r="K87" i="4"/>
  <c r="K86" i="4"/>
  <c r="K83" i="4"/>
  <c r="K82" i="4"/>
  <c r="K79" i="4"/>
  <c r="K78" i="4"/>
  <c r="K77" i="4"/>
  <c r="K76" i="4"/>
  <c r="K74" i="4"/>
  <c r="K73" i="4"/>
  <c r="K72" i="4"/>
  <c r="K71" i="4"/>
  <c r="K70" i="4"/>
  <c r="K69" i="4"/>
  <c r="K68" i="4"/>
  <c r="K66" i="4"/>
  <c r="K63" i="4"/>
  <c r="K61" i="4"/>
  <c r="K60" i="4"/>
  <c r="K59" i="4"/>
  <c r="K56" i="4"/>
  <c r="K54" i="4"/>
  <c r="K53" i="4"/>
  <c r="K52" i="4"/>
  <c r="K50" i="4"/>
  <c r="K49" i="4"/>
  <c r="K48" i="4"/>
  <c r="K43" i="4"/>
  <c r="K41" i="4"/>
  <c r="K40" i="4"/>
  <c r="K39" i="4"/>
  <c r="K37" i="4"/>
  <c r="K36" i="4"/>
  <c r="K27" i="4"/>
  <c r="K26" i="4"/>
  <c r="K25" i="4"/>
  <c r="K24" i="4"/>
  <c r="K22" i="4"/>
  <c r="K21" i="4"/>
  <c r="K20" i="4"/>
  <c r="K19" i="4"/>
  <c r="K15" i="4"/>
  <c r="K14" i="4"/>
  <c r="K11" i="4"/>
  <c r="K7" i="4"/>
  <c r="K5" i="4"/>
  <c r="I188" i="4"/>
  <c r="I187" i="4"/>
  <c r="J187" i="4" s="1"/>
  <c r="I186" i="4"/>
  <c r="J186" i="4" s="1"/>
  <c r="I185" i="4"/>
  <c r="J185" i="4" s="1"/>
  <c r="I184" i="4"/>
  <c r="J184" i="4" s="1"/>
  <c r="I183" i="4"/>
  <c r="I182" i="4"/>
  <c r="I181" i="4"/>
  <c r="J181" i="4" s="1"/>
  <c r="I180" i="4"/>
  <c r="J180" i="4" s="1"/>
  <c r="K180" i="4" s="1"/>
  <c r="I179" i="4"/>
  <c r="J179" i="4" s="1"/>
  <c r="K179" i="4" s="1"/>
  <c r="I178" i="4"/>
  <c r="J178" i="4" s="1"/>
  <c r="I177" i="4"/>
  <c r="I176" i="4"/>
  <c r="J176" i="4" s="1"/>
  <c r="K176" i="4" s="1"/>
  <c r="I175" i="4"/>
  <c r="J175" i="4" s="1"/>
  <c r="I174" i="4"/>
  <c r="J174" i="4" s="1"/>
  <c r="K174" i="4" s="1"/>
  <c r="I173" i="4"/>
  <c r="J173" i="4" s="1"/>
  <c r="K173" i="4" s="1"/>
  <c r="I172" i="4"/>
  <c r="J172" i="4" s="1"/>
  <c r="I171" i="4"/>
  <c r="I170" i="4"/>
  <c r="I169" i="4"/>
  <c r="I168" i="4"/>
  <c r="J168" i="4" s="1"/>
  <c r="I167" i="4"/>
  <c r="J167" i="4" s="1"/>
  <c r="I166" i="4"/>
  <c r="J166" i="4" s="1"/>
  <c r="I165" i="4"/>
  <c r="I164" i="4"/>
  <c r="I163" i="4"/>
  <c r="I162" i="4"/>
  <c r="J162" i="4" s="1"/>
  <c r="I161" i="4"/>
  <c r="J161" i="4" s="1"/>
  <c r="K161" i="4" s="1"/>
  <c r="I160" i="4"/>
  <c r="J160" i="4" s="1"/>
  <c r="I159" i="4"/>
  <c r="I158" i="4"/>
  <c r="J158" i="4" s="1"/>
  <c r="I157" i="4"/>
  <c r="J157" i="4" s="1"/>
  <c r="I156" i="4"/>
  <c r="J156" i="4" s="1"/>
  <c r="K156" i="4" s="1"/>
  <c r="I155" i="4"/>
  <c r="J155" i="4" s="1"/>
  <c r="I154" i="4"/>
  <c r="J154" i="4" s="1"/>
  <c r="I153" i="4"/>
  <c r="I152" i="4"/>
  <c r="I151" i="4"/>
  <c r="J151" i="4" s="1"/>
  <c r="I150" i="4"/>
  <c r="J150" i="4" s="1"/>
  <c r="I149" i="4"/>
  <c r="J149" i="4" s="1"/>
  <c r="K149" i="4" s="1"/>
  <c r="I148" i="4"/>
  <c r="J148" i="4" s="1"/>
  <c r="I147" i="4"/>
  <c r="I146" i="4"/>
  <c r="J146" i="4" s="1"/>
  <c r="K146" i="4" s="1"/>
  <c r="I145" i="4"/>
  <c r="I144" i="4"/>
  <c r="J144" i="4" s="1"/>
  <c r="I143" i="4"/>
  <c r="J143" i="4" s="1"/>
  <c r="K143" i="4" s="1"/>
  <c r="I142" i="4"/>
  <c r="J142" i="4" s="1"/>
  <c r="I141" i="4"/>
  <c r="I140" i="4"/>
  <c r="I139" i="4"/>
  <c r="J139" i="4" s="1"/>
  <c r="I138" i="4"/>
  <c r="J138" i="4" s="1"/>
  <c r="I137" i="4"/>
  <c r="J137" i="4" s="1"/>
  <c r="K137" i="4" s="1"/>
  <c r="I136" i="4"/>
  <c r="J136" i="4" s="1"/>
  <c r="I135" i="4"/>
  <c r="I134" i="4"/>
  <c r="J134" i="4" s="1"/>
  <c r="I133" i="4"/>
  <c r="J133" i="4" s="1"/>
  <c r="I132" i="4"/>
  <c r="J132" i="4" s="1"/>
  <c r="I131" i="4"/>
  <c r="J131" i="4" s="1"/>
  <c r="K131" i="4" s="1"/>
  <c r="I130" i="4"/>
  <c r="J130" i="4" s="1"/>
  <c r="I129" i="4"/>
  <c r="I128" i="4"/>
  <c r="J128" i="4" s="1"/>
  <c r="I127" i="4"/>
  <c r="J127" i="4" s="1"/>
  <c r="I126" i="4"/>
  <c r="J126" i="4" s="1"/>
  <c r="K126" i="4" s="1"/>
  <c r="I125" i="4"/>
  <c r="J125" i="4" s="1"/>
  <c r="I124" i="4"/>
  <c r="J124" i="4" s="1"/>
  <c r="I123" i="4"/>
  <c r="I122" i="4"/>
  <c r="I121" i="4"/>
  <c r="I120" i="4"/>
  <c r="J120" i="4" s="1"/>
  <c r="K120" i="4" s="1"/>
  <c r="I119" i="4"/>
  <c r="J119" i="4" s="1"/>
  <c r="I118" i="4"/>
  <c r="J118" i="4" s="1"/>
  <c r="I117" i="4"/>
  <c r="I116" i="4"/>
  <c r="J116" i="4" s="1"/>
  <c r="I115" i="4"/>
  <c r="J115" i="4" s="1"/>
  <c r="I114" i="4"/>
  <c r="J114" i="4" s="1"/>
  <c r="I113" i="4"/>
  <c r="J113" i="4" s="1"/>
  <c r="K113" i="4" s="1"/>
  <c r="I112" i="4"/>
  <c r="J112" i="4" s="1"/>
  <c r="I111" i="4"/>
  <c r="I110" i="4"/>
  <c r="I109" i="4"/>
  <c r="J109" i="4" s="1"/>
  <c r="I108" i="4"/>
  <c r="J108" i="4" s="1"/>
  <c r="K108" i="4" s="1"/>
  <c r="I107" i="4"/>
  <c r="J107" i="4" s="1"/>
  <c r="I106" i="4"/>
  <c r="J106" i="4" s="1"/>
  <c r="I105" i="4"/>
  <c r="I104" i="4"/>
  <c r="J104" i="4" s="1"/>
  <c r="I103" i="4"/>
  <c r="J103" i="4" s="1"/>
  <c r="I102" i="4"/>
  <c r="J102" i="4" s="1"/>
  <c r="K102" i="4" s="1"/>
  <c r="I101" i="4"/>
  <c r="J101" i="4" s="1"/>
  <c r="I100" i="4"/>
  <c r="J100" i="4" s="1"/>
  <c r="I99" i="4"/>
  <c r="I98" i="4"/>
  <c r="I97" i="4"/>
  <c r="J97" i="4" s="1"/>
  <c r="I96" i="4"/>
  <c r="J96" i="4" s="1"/>
  <c r="I95" i="4"/>
  <c r="J95" i="4" s="1"/>
  <c r="K95" i="4" s="1"/>
  <c r="I94" i="4"/>
  <c r="J94" i="4" s="1"/>
  <c r="I93" i="4"/>
  <c r="I92" i="4"/>
  <c r="J92" i="4" s="1"/>
  <c r="K92" i="4" s="1"/>
  <c r="I91" i="4"/>
  <c r="I90" i="4"/>
  <c r="J90" i="4" s="1"/>
  <c r="I89" i="4"/>
  <c r="J89" i="4" s="1"/>
  <c r="K89" i="4" s="1"/>
  <c r="I88" i="4"/>
  <c r="J88" i="4" s="1"/>
  <c r="I87" i="4"/>
  <c r="I86" i="4"/>
  <c r="J86" i="4" s="1"/>
  <c r="I85" i="4"/>
  <c r="I84" i="4"/>
  <c r="J84" i="4" s="1"/>
  <c r="K84" i="4" s="1"/>
  <c r="I83" i="4"/>
  <c r="J83" i="4" s="1"/>
  <c r="I82" i="4"/>
  <c r="J82" i="4" s="1"/>
  <c r="I81" i="4"/>
  <c r="I80" i="4"/>
  <c r="J80" i="4" s="1"/>
  <c r="K80" i="4" s="1"/>
  <c r="I79" i="4"/>
  <c r="J79" i="4" s="1"/>
  <c r="I78" i="4"/>
  <c r="J78" i="4" s="1"/>
  <c r="I77" i="4"/>
  <c r="J77" i="4" s="1"/>
  <c r="I76" i="4"/>
  <c r="J76" i="4" s="1"/>
  <c r="I75" i="4"/>
  <c r="I74" i="4"/>
  <c r="J74" i="4" s="1"/>
  <c r="I73" i="4"/>
  <c r="J73" i="4" s="1"/>
  <c r="I72" i="4"/>
  <c r="J72" i="4" s="1"/>
  <c r="I71" i="4"/>
  <c r="J71" i="4" s="1"/>
  <c r="I70" i="4"/>
  <c r="J70" i="4" s="1"/>
  <c r="I69" i="4"/>
  <c r="I68" i="4"/>
  <c r="J68" i="4" s="1"/>
  <c r="I67" i="4"/>
  <c r="I66" i="4"/>
  <c r="J66" i="4" s="1"/>
  <c r="I65" i="4"/>
  <c r="J65" i="4" s="1"/>
  <c r="K65" i="4" s="1"/>
  <c r="I64" i="4"/>
  <c r="J64" i="4" s="1"/>
  <c r="I63" i="4"/>
  <c r="I62" i="4"/>
  <c r="I61" i="4"/>
  <c r="J61" i="4" s="1"/>
  <c r="I60" i="4"/>
  <c r="J60" i="4" s="1"/>
  <c r="I59" i="4"/>
  <c r="J59" i="4" s="1"/>
  <c r="I58" i="4"/>
  <c r="J58" i="4" s="1"/>
  <c r="I57" i="4"/>
  <c r="I56" i="4"/>
  <c r="J56" i="4" s="1"/>
  <c r="I55" i="4"/>
  <c r="I54" i="4"/>
  <c r="J54" i="4" s="1"/>
  <c r="I53" i="4"/>
  <c r="J53" i="4" s="1"/>
  <c r="I52" i="4"/>
  <c r="J52" i="4" s="1"/>
  <c r="I51" i="4"/>
  <c r="I50" i="4"/>
  <c r="J50" i="4" s="1"/>
  <c r="I49" i="4"/>
  <c r="J49" i="4" s="1"/>
  <c r="I48" i="4"/>
  <c r="J48" i="4" s="1"/>
  <c r="I47" i="4"/>
  <c r="J47" i="4" s="1"/>
  <c r="K47" i="4" s="1"/>
  <c r="I46" i="4"/>
  <c r="J46" i="4" s="1"/>
  <c r="I45" i="4"/>
  <c r="I44" i="4"/>
  <c r="J44" i="4" s="1"/>
  <c r="K44" i="4" s="1"/>
  <c r="I43" i="4"/>
  <c r="J43" i="4" s="1"/>
  <c r="I42" i="4"/>
  <c r="J42" i="4" s="1"/>
  <c r="K42" i="4" s="1"/>
  <c r="I41" i="4"/>
  <c r="J41" i="4" s="1"/>
  <c r="I40" i="4"/>
  <c r="J40" i="4" s="1"/>
  <c r="I39" i="4"/>
  <c r="I38" i="4"/>
  <c r="I37" i="4"/>
  <c r="J37" i="4" s="1"/>
  <c r="I36" i="4"/>
  <c r="J36" i="4" s="1"/>
  <c r="I35" i="4"/>
  <c r="J35" i="4" s="1"/>
  <c r="K35" i="4" s="1"/>
  <c r="I34" i="4"/>
  <c r="J34" i="4" s="1"/>
  <c r="I33" i="4"/>
  <c r="I32" i="4"/>
  <c r="I31" i="4"/>
  <c r="I30" i="4"/>
  <c r="J30" i="4" s="1"/>
  <c r="K30" i="4" s="1"/>
  <c r="I29" i="4"/>
  <c r="J29" i="4" s="1"/>
  <c r="I28" i="4"/>
  <c r="J28" i="4" s="1"/>
  <c r="I27" i="4"/>
  <c r="I26" i="4"/>
  <c r="J26" i="4" s="1"/>
  <c r="I25" i="4"/>
  <c r="J25" i="4" s="1"/>
  <c r="I24" i="4"/>
  <c r="J24" i="4" s="1"/>
  <c r="I23" i="4"/>
  <c r="J23" i="4" s="1"/>
  <c r="I22" i="4"/>
  <c r="J22" i="4" s="1"/>
  <c r="I21" i="4"/>
  <c r="I20" i="4"/>
  <c r="J20" i="4" s="1"/>
  <c r="I19" i="4"/>
  <c r="J19" i="4" s="1"/>
  <c r="I18" i="4"/>
  <c r="J18" i="4" s="1"/>
  <c r="K18" i="4" s="1"/>
  <c r="I17" i="4"/>
  <c r="J17" i="4" s="1"/>
  <c r="K17" i="4" s="1"/>
  <c r="I16" i="4"/>
  <c r="J16" i="4" s="1"/>
  <c r="I15" i="4"/>
  <c r="I14" i="4"/>
  <c r="J14" i="4" s="1"/>
  <c r="I13" i="4"/>
  <c r="I12" i="4"/>
  <c r="J12" i="4" s="1"/>
  <c r="K12" i="4" s="1"/>
  <c r="I11" i="4"/>
  <c r="J11" i="4" s="1"/>
  <c r="I10" i="4"/>
  <c r="J10" i="4" s="1"/>
  <c r="I9" i="4"/>
  <c r="I8" i="4"/>
  <c r="J8" i="4" s="1"/>
  <c r="K8" i="4" s="1"/>
  <c r="I7" i="4"/>
  <c r="J7" i="4" s="1"/>
  <c r="I5" i="4"/>
  <c r="J5" i="4" s="1"/>
  <c r="I4" i="4"/>
  <c r="K91" i="4" l="1"/>
  <c r="K9" i="4"/>
  <c r="K33" i="4"/>
  <c r="K45" i="4"/>
  <c r="K51" i="4"/>
  <c r="K57" i="4"/>
  <c r="K75" i="4"/>
  <c r="K81" i="4"/>
  <c r="K93" i="4"/>
  <c r="K99" i="4"/>
  <c r="K117" i="4"/>
  <c r="K129" i="4"/>
  <c r="K141" i="4"/>
  <c r="K147" i="4"/>
  <c r="K153" i="4"/>
  <c r="K159" i="4"/>
  <c r="K165" i="4"/>
  <c r="K171" i="4"/>
  <c r="K177" i="4"/>
  <c r="K183" i="4"/>
  <c r="K10" i="4"/>
  <c r="K16" i="4"/>
  <c r="K28" i="4"/>
  <c r="K34" i="4"/>
  <c r="K46" i="4"/>
  <c r="K58" i="4"/>
  <c r="K64" i="4"/>
  <c r="K124" i="4"/>
  <c r="K148" i="4"/>
  <c r="K160" i="4"/>
  <c r="K172" i="4"/>
  <c r="J13" i="4"/>
  <c r="K13" i="4" s="1"/>
  <c r="J31" i="4"/>
  <c r="K31" i="4" s="1"/>
  <c r="J55" i="4"/>
  <c r="K55" i="4" s="1"/>
  <c r="J67" i="4"/>
  <c r="K67" i="4" s="1"/>
  <c r="J85" i="4"/>
  <c r="K85" i="4" s="1"/>
  <c r="J91" i="4"/>
  <c r="J121" i="4"/>
  <c r="K121" i="4" s="1"/>
  <c r="J145" i="4"/>
  <c r="K145" i="4" s="1"/>
  <c r="J163" i="4"/>
  <c r="K163" i="4" s="1"/>
  <c r="J169" i="4"/>
  <c r="K169" i="4" s="1"/>
  <c r="K23" i="4"/>
  <c r="K29" i="4"/>
  <c r="J32" i="4"/>
  <c r="K32" i="4" s="1"/>
  <c r="J38" i="4"/>
  <c r="K38" i="4" s="1"/>
  <c r="J62" i="4"/>
  <c r="K62" i="4" s="1"/>
  <c r="J98" i="4"/>
  <c r="K98" i="4" s="1"/>
  <c r="J110" i="4"/>
  <c r="K110" i="4" s="1"/>
  <c r="J122" i="4"/>
  <c r="K122" i="4" s="1"/>
  <c r="J140" i="4"/>
  <c r="K140" i="4" s="1"/>
  <c r="J152" i="4"/>
  <c r="K152" i="4" s="1"/>
  <c r="J164" i="4"/>
  <c r="K164" i="4" s="1"/>
  <c r="J170" i="4"/>
  <c r="K170" i="4" s="1"/>
  <c r="J182" i="4"/>
  <c r="K182" i="4" s="1"/>
  <c r="J188" i="4"/>
  <c r="K188" i="4" s="1"/>
  <c r="K4" i="4"/>
  <c r="H21" i="1" l="1"/>
  <c r="G21" i="1"/>
  <c r="F21" i="1"/>
  <c r="E21" i="1"/>
  <c r="D21" i="1"/>
  <c r="N4" i="1"/>
  <c r="F5" i="1"/>
  <c r="F22" i="1" s="1"/>
  <c r="F4" i="1"/>
  <c r="N17" i="1"/>
  <c r="N16" i="1"/>
  <c r="N15" i="1"/>
  <c r="N14" i="1"/>
  <c r="I22" i="1" s="1"/>
  <c r="N13" i="1"/>
  <c r="N12" i="1"/>
  <c r="N11" i="1"/>
  <c r="N10" i="1"/>
  <c r="N9" i="1"/>
  <c r="N8" i="1"/>
  <c r="N7" i="1"/>
  <c r="N6" i="1"/>
  <c r="N5" i="1"/>
  <c r="N3" i="1"/>
  <c r="H22" i="1"/>
  <c r="G22" i="1"/>
  <c r="E22" i="1"/>
  <c r="D22" i="1"/>
  <c r="F17" i="1"/>
  <c r="F16" i="1"/>
  <c r="F15" i="1"/>
  <c r="F14" i="1"/>
  <c r="F13" i="1"/>
  <c r="F12" i="1"/>
  <c r="F11" i="1"/>
  <c r="F10" i="1"/>
  <c r="F9" i="1"/>
  <c r="F8" i="1"/>
  <c r="F7" i="1"/>
  <c r="F6" i="1"/>
  <c r="F3" i="1"/>
  <c r="I21" i="1"/>
</calcChain>
</file>

<file path=xl/sharedStrings.xml><?xml version="1.0" encoding="utf-8"?>
<sst xmlns="http://schemas.openxmlformats.org/spreadsheetml/2006/main" count="2426" uniqueCount="183">
  <si>
    <t>Referencia</t>
  </si>
  <si>
    <t>Producto</t>
  </si>
  <si>
    <t>Unidadades</t>
  </si>
  <si>
    <t>Stock</t>
  </si>
  <si>
    <t>Color</t>
  </si>
  <si>
    <t>Proveedor</t>
  </si>
  <si>
    <t>Departamento</t>
  </si>
  <si>
    <t>Salarios</t>
  </si>
  <si>
    <t>R001</t>
  </si>
  <si>
    <t>Guante</t>
  </si>
  <si>
    <t>R003</t>
  </si>
  <si>
    <t>Amarillo</t>
  </si>
  <si>
    <t>Calcetines</t>
  </si>
  <si>
    <t>Ropajes S.L.</t>
  </si>
  <si>
    <t>A_dept</t>
  </si>
  <si>
    <t>R002</t>
  </si>
  <si>
    <t>Gafas</t>
  </si>
  <si>
    <t>R010</t>
  </si>
  <si>
    <t>Camisa</t>
  </si>
  <si>
    <t>Ateliere S.A.</t>
  </si>
  <si>
    <t>B_dept</t>
  </si>
  <si>
    <t>Gorra</t>
  </si>
  <si>
    <t>R012</t>
  </si>
  <si>
    <t>Azúl</t>
  </si>
  <si>
    <t>Camiseta</t>
  </si>
  <si>
    <t>C_dept</t>
  </si>
  <si>
    <t>R004</t>
  </si>
  <si>
    <t>Blanco</t>
  </si>
  <si>
    <t>Camisón</t>
  </si>
  <si>
    <t>D_dept</t>
  </si>
  <si>
    <t>R005</t>
  </si>
  <si>
    <t>Sudadera</t>
  </si>
  <si>
    <t>R014</t>
  </si>
  <si>
    <t>Chaqueta</t>
  </si>
  <si>
    <t>R006</t>
  </si>
  <si>
    <t>Gorro</t>
  </si>
  <si>
    <t>Gris</t>
  </si>
  <si>
    <t>Falda</t>
  </si>
  <si>
    <t>R007</t>
  </si>
  <si>
    <t>R008</t>
  </si>
  <si>
    <t>Unidades</t>
  </si>
  <si>
    <t>Pantalones</t>
  </si>
  <si>
    <t>Rojo</t>
  </si>
  <si>
    <t>Bajo</t>
  </si>
  <si>
    <t>R009</t>
  </si>
  <si>
    <t>Jersey</t>
  </si>
  <si>
    <t>R011</t>
  </si>
  <si>
    <t>Pañuelo</t>
  </si>
  <si>
    <t>R013</t>
  </si>
  <si>
    <t>Medio</t>
  </si>
  <si>
    <t>Verde</t>
  </si>
  <si>
    <t>Pijama</t>
  </si>
  <si>
    <t>R015</t>
  </si>
  <si>
    <t>Alto</t>
  </si>
  <si>
    <t>Ejercicio: En los espacios Grises mediante BuscarV encontrar su información correspondeinte</t>
  </si>
  <si>
    <t>Mediante el código de referencia, encontrar la etiqueta de "Stock" encontrada en otra tabla. Establecer si es un stock bajo, medio o alto.</t>
  </si>
  <si>
    <t>Mediante el código de referencia, asignar el salario por departamento ubicado en otra tabla</t>
  </si>
  <si>
    <t>Mediante el código de referencia, obtener la información solicitada</t>
  </si>
  <si>
    <t>Localidad</t>
  </si>
  <si>
    <t>Clave_Unica</t>
  </si>
  <si>
    <t>Precio</t>
  </si>
  <si>
    <t>Cantitad</t>
  </si>
  <si>
    <t>Total Ticket</t>
  </si>
  <si>
    <t>Tipo de producto</t>
  </si>
  <si>
    <t>Impuestos Pagados por ticket</t>
  </si>
  <si>
    <t>Hidalgo</t>
  </si>
  <si>
    <t>F_Li_A</t>
  </si>
  <si>
    <t>Lima</t>
  </si>
  <si>
    <t>Baja California Sur</t>
  </si>
  <si>
    <t>T_L_A</t>
  </si>
  <si>
    <t>Laptop</t>
  </si>
  <si>
    <t>Chihuahua</t>
  </si>
  <si>
    <t>San Luis Potosí</t>
  </si>
  <si>
    <t>F_L_A</t>
  </si>
  <si>
    <t>Limón</t>
  </si>
  <si>
    <t>F_M_C/S</t>
  </si>
  <si>
    <t>Melón</t>
  </si>
  <si>
    <t>Tamaulipas</t>
  </si>
  <si>
    <t>F_N_A</t>
  </si>
  <si>
    <t>Naranja</t>
  </si>
  <si>
    <t>Morelos</t>
  </si>
  <si>
    <t>P_C_Grande</t>
  </si>
  <si>
    <t>Cuaderno</t>
  </si>
  <si>
    <t>Guanajuato</t>
  </si>
  <si>
    <t>P_C_Chico</t>
  </si>
  <si>
    <t>Puebla</t>
  </si>
  <si>
    <t>F_P_A</t>
  </si>
  <si>
    <t>Piña</t>
  </si>
  <si>
    <t>Queretaro</t>
  </si>
  <si>
    <t>F_S_S/S</t>
  </si>
  <si>
    <t>Sandía</t>
  </si>
  <si>
    <t>Michoacan</t>
  </si>
  <si>
    <t>F_T_A</t>
  </si>
  <si>
    <t>Toronja</t>
  </si>
  <si>
    <t>Nuevo León</t>
  </si>
  <si>
    <t>Tabasco</t>
  </si>
  <si>
    <t>P_P_Roja</t>
  </si>
  <si>
    <t>Pluma</t>
  </si>
  <si>
    <t>Aguascalientes</t>
  </si>
  <si>
    <t>F_P_Cafe</t>
  </si>
  <si>
    <t>Pera</t>
  </si>
  <si>
    <t>Yucatán</t>
  </si>
  <si>
    <t>F_M_Verde</t>
  </si>
  <si>
    <t>Manzana</t>
  </si>
  <si>
    <t>Quintana Roo</t>
  </si>
  <si>
    <t>P_P_Negra</t>
  </si>
  <si>
    <t>Campeche</t>
  </si>
  <si>
    <t>F_P_Roja</t>
  </si>
  <si>
    <t>Colima</t>
  </si>
  <si>
    <t>F_P_Verde</t>
  </si>
  <si>
    <t>Sinaloa</t>
  </si>
  <si>
    <t>Nayarit</t>
  </si>
  <si>
    <t>Zacatecas</t>
  </si>
  <si>
    <t>F_S_C/S</t>
  </si>
  <si>
    <t>Chiapas</t>
  </si>
  <si>
    <t>F_P_P_Azul</t>
  </si>
  <si>
    <t>Tlaxcala</t>
  </si>
  <si>
    <t>F_M_Amarilla</t>
  </si>
  <si>
    <t>F_M_S/S</t>
  </si>
  <si>
    <t>Jalisco</t>
  </si>
  <si>
    <t>F_M_Roja</t>
  </si>
  <si>
    <t>Veracruz</t>
  </si>
  <si>
    <t>Sonora</t>
  </si>
  <si>
    <t>Coahuila</t>
  </si>
  <si>
    <t>Oaxaca</t>
  </si>
  <si>
    <t>Durango</t>
  </si>
  <si>
    <t>P_C_Lineas</t>
  </si>
  <si>
    <t>S_W_A</t>
  </si>
  <si>
    <t>WiFi</t>
  </si>
  <si>
    <t>S_L_A</t>
  </si>
  <si>
    <t>Luz</t>
  </si>
  <si>
    <t>S_N_A</t>
  </si>
  <si>
    <t>Netflix</t>
  </si>
  <si>
    <t>S_A_A</t>
  </si>
  <si>
    <t>Amazon</t>
  </si>
  <si>
    <t>F</t>
  </si>
  <si>
    <t>T</t>
  </si>
  <si>
    <t>P</t>
  </si>
  <si>
    <t>S</t>
  </si>
  <si>
    <t>Noroeste</t>
  </si>
  <si>
    <t>Noreste</t>
  </si>
  <si>
    <t>Occidente</t>
  </si>
  <si>
    <t>Oriente</t>
  </si>
  <si>
    <t>Centronorte</t>
  </si>
  <si>
    <t>Centro Sur</t>
  </si>
  <si>
    <t>SurOeste</t>
  </si>
  <si>
    <t>SurEste</t>
  </si>
  <si>
    <t>IMPUESTO</t>
  </si>
  <si>
    <t>Región</t>
  </si>
  <si>
    <t>Tasa de impuesto aplicable</t>
  </si>
  <si>
    <t>Impuesto a pagar</t>
  </si>
  <si>
    <t>Excento</t>
  </si>
  <si>
    <t>Aplica</t>
  </si>
  <si>
    <t>No aplica impuestos</t>
  </si>
  <si>
    <t>1. Mediante BuscarV, asigna a qué región pertenece la localidad o estado de cada operación en la columna I.
2. En la columna J, mediante un BuscarV y BuscarH, busca la tasa de impuesto que le corresponde pagar a esa localidad.
3. En la columna K, mediante una condicional, si la operación tiene una etiqueta de "No aplica impuestos" asigna un 0, en caso contrario, calcula el impuesto a pagar.
4. Establece un semáforo en la columna "L", donde indique en verde si los impuestos son 0, en amarillo si son superiores 0 y menores a 100 y en rojo si son mayores a 100</t>
  </si>
  <si>
    <t>semáforo</t>
  </si>
  <si>
    <t>Etiquetas de fila</t>
  </si>
  <si>
    <t>Total general</t>
  </si>
  <si>
    <t>Etiquetas de columna</t>
  </si>
  <si>
    <t>Promedio de Impuesto a pagar</t>
  </si>
  <si>
    <t>Respuesta pregunta 2</t>
  </si>
  <si>
    <t>Respuesta pregunta 1</t>
  </si>
  <si>
    <t xml:space="preserve">Mediante una Tabla / gráfica dinámica responde a las preguntas:
1. ¿Qué Región pagará en promedio más impuestos? 
2. ¿Cuál es el tipo de producto del cual se pagarán más impuestos?
</t>
  </si>
  <si>
    <t xml:space="preserve">Mediante una Tabla / gráfica dinámica responde a las preguntas:
1. ¿Qué Región pagará en promedio más impuestos?
2. ¿Cuál es el tipo de producto del cual se pagarán más impuestos?
</t>
  </si>
  <si>
    <t xml:space="preserve">Graba una macro en donde tu agregues información de una inversión, te la agregue a tu histórico de inversiones y te limpie el espacio para llenar información
</t>
  </si>
  <si>
    <t>Emisora</t>
  </si>
  <si>
    <t>Precio de compra</t>
  </si>
  <si>
    <t>No. Acciones</t>
  </si>
  <si>
    <t>Fecha</t>
  </si>
  <si>
    <t>Precio de Compra</t>
  </si>
  <si>
    <t>Monto Total</t>
  </si>
  <si>
    <t>NVIDIA</t>
  </si>
  <si>
    <t>BIMBO</t>
  </si>
  <si>
    <t>AMD</t>
  </si>
  <si>
    <t>META</t>
  </si>
  <si>
    <t>MSFT</t>
  </si>
  <si>
    <t>TXN</t>
  </si>
  <si>
    <t>INTC</t>
  </si>
  <si>
    <t>CSCO</t>
  </si>
  <si>
    <t>GOOGL</t>
  </si>
  <si>
    <t>Bimbo</t>
  </si>
  <si>
    <t>AIRBNB</t>
  </si>
  <si>
    <t>Graba una macro en donde tu agregues información de una inversión, te la agregue a tu histórico de inversiones y te limpie el espacio para llenar información
Crea un botón para poder utilizar dicha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</si>
</sst>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8" formatCode="0.0%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3" fontId="0" fillId="0" borderId="1" xfId="0" applyNumberFormat="1" applyBorder="1" applyAlignment="1">
      <alignment horizontal="left"/>
    </xf>
    <xf numFmtId="0" fontId="0" fillId="0" borderId="1" xfId="0" applyBorder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3" fontId="0" fillId="7" borderId="2" xfId="0" applyNumberFormat="1" applyFill="1" applyBorder="1" applyAlignment="1">
      <alignment horizontal="right"/>
    </xf>
    <xf numFmtId="3" fontId="0" fillId="7" borderId="3" xfId="0" applyNumberFormat="1" applyFill="1" applyBorder="1" applyAlignment="1">
      <alignment horizontal="right"/>
    </xf>
    <xf numFmtId="3" fontId="0" fillId="7" borderId="4" xfId="0" applyNumberFormat="1" applyFill="1" applyBorder="1" applyAlignment="1">
      <alignment horizontal="right"/>
    </xf>
    <xf numFmtId="0" fontId="0" fillId="7" borderId="5" xfId="0" applyFill="1" applyBorder="1"/>
    <xf numFmtId="0" fontId="0" fillId="7" borderId="6" xfId="0" applyFill="1" applyBorder="1"/>
    <xf numFmtId="3" fontId="0" fillId="7" borderId="7" xfId="0" applyNumberFormat="1" applyFill="1" applyBorder="1"/>
    <xf numFmtId="0" fontId="0" fillId="7" borderId="8" xfId="0" applyFill="1" applyBorder="1"/>
    <xf numFmtId="0" fontId="0" fillId="7" borderId="9" xfId="0" applyFill="1" applyBorder="1"/>
    <xf numFmtId="3" fontId="0" fillId="7" borderId="1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3" fillId="8" borderId="0" xfId="0" applyFont="1" applyFill="1"/>
    <xf numFmtId="0" fontId="3" fillId="9" borderId="0" xfId="0" applyFont="1" applyFill="1"/>
    <xf numFmtId="168" fontId="0" fillId="0" borderId="0" xfId="1" applyNumberFormat="1" applyFont="1"/>
    <xf numFmtId="10" fontId="0" fillId="0" borderId="0" xfId="1" applyNumberFormat="1" applyFont="1"/>
    <xf numFmtId="0" fontId="3" fillId="10" borderId="0" xfId="0" applyFont="1" applyFill="1"/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 wrapText="1"/>
    </xf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7" borderId="21" xfId="0" applyFill="1" applyBorder="1"/>
    <xf numFmtId="0" fontId="0" fillId="0" borderId="0" xfId="0" applyFill="1" applyBorder="1"/>
    <xf numFmtId="0" fontId="3" fillId="0" borderId="0" xfId="0" applyFont="1" applyFill="1" applyBorder="1"/>
    <xf numFmtId="0" fontId="0" fillId="7" borderId="16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0" applyNumberFormat="1"/>
    <xf numFmtId="0" fontId="0" fillId="11" borderId="0" xfId="0" applyFill="1" applyAlignment="1">
      <alignment horizontal="left"/>
    </xf>
    <xf numFmtId="43" fontId="0" fillId="11" borderId="0" xfId="0" applyNumberFormat="1" applyFill="1"/>
    <xf numFmtId="0" fontId="0" fillId="11" borderId="0" xfId="0" applyFill="1"/>
    <xf numFmtId="14" fontId="0" fillId="0" borderId="0" xfId="0" applyNumberFormat="1"/>
  </cellXfs>
  <cellStyles count="2">
    <cellStyle name="Normal" xfId="0" builtinId="0"/>
    <cellStyle name="Porcentaje" xfId="1" builtinId="5"/>
  </cellStyles>
  <dxfs count="6">
    <dxf>
      <numFmt numFmtId="35" formatCode="_-* #,##0.00_-;\-* #,##0.00_-;_-* &quot;-&quot;??_-;_-@_-"/>
    </dxf>
    <dxf>
      <numFmt numFmtId="35" formatCode="_-* #,##0.00_-;\-* #,##0.00_-;_-* &quot;-&quot;??_-;_-@_-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[Ejercicios Repaso Excel.xlsm]Gráfico Dinámico Solución!TablaDinámica16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Dinámico Solución'!$B$2:$B$3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'Gráfico Dinámico Solución'!$A$4:$A$12</c:f>
              <c:strCache>
                <c:ptCount val="8"/>
                <c:pt idx="0">
                  <c:v>Centro Sur</c:v>
                </c:pt>
                <c:pt idx="1">
                  <c:v>Centronorte</c:v>
                </c:pt>
                <c:pt idx="2">
                  <c:v>Noreste</c:v>
                </c:pt>
                <c:pt idx="3">
                  <c:v>Noroeste</c:v>
                </c:pt>
                <c:pt idx="4">
                  <c:v>Occidente</c:v>
                </c:pt>
                <c:pt idx="5">
                  <c:v>Oriente</c:v>
                </c:pt>
                <c:pt idx="6">
                  <c:v>SurEste</c:v>
                </c:pt>
                <c:pt idx="7">
                  <c:v>SurOeste</c:v>
                </c:pt>
              </c:strCache>
            </c:strRef>
          </c:cat>
          <c:val>
            <c:numRef>
              <c:f>'Gráfico Dinámico Solución'!$B$4:$B$12</c:f>
              <c:numCache>
                <c:formatCode>_(* #,##0.00_);_(* \(#,##0.00\);_(* "-"??_);_(@_)</c:formatCode>
                <c:ptCount val="8"/>
                <c:pt idx="0">
                  <c:v>6.4350000000000005</c:v>
                </c:pt>
                <c:pt idx="1">
                  <c:v>2.5462500000000001</c:v>
                </c:pt>
                <c:pt idx="2">
                  <c:v>3.6400000000000006</c:v>
                </c:pt>
                <c:pt idx="3">
                  <c:v>1.45</c:v>
                </c:pt>
                <c:pt idx="4">
                  <c:v>2.0957894736842104</c:v>
                </c:pt>
                <c:pt idx="5">
                  <c:v>2.3450000000000002</c:v>
                </c:pt>
                <c:pt idx="6">
                  <c:v>2.2400000000000007</c:v>
                </c:pt>
                <c:pt idx="7">
                  <c:v>4.9255555555555555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B-421A-909B-6F0D234B1510}"/>
            </c:ext>
          </c:extLst>
        </c:ser>
        <c:ser>
          <c:idx val="1"/>
          <c:order val="1"/>
          <c:tx>
            <c:strRef>
              <c:f>'Gráfico Dinámico Solución'!$C$2:$C$3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'Gráfico Dinámico Solución'!$A$4:$A$12</c:f>
              <c:strCache>
                <c:ptCount val="8"/>
                <c:pt idx="0">
                  <c:v>Centro Sur</c:v>
                </c:pt>
                <c:pt idx="1">
                  <c:v>Centronorte</c:v>
                </c:pt>
                <c:pt idx="2">
                  <c:v>Noreste</c:v>
                </c:pt>
                <c:pt idx="3">
                  <c:v>Noroeste</c:v>
                </c:pt>
                <c:pt idx="4">
                  <c:v>Occidente</c:v>
                </c:pt>
                <c:pt idx="5">
                  <c:v>Oriente</c:v>
                </c:pt>
                <c:pt idx="6">
                  <c:v>SurEste</c:v>
                </c:pt>
                <c:pt idx="7">
                  <c:v>SurOeste</c:v>
                </c:pt>
              </c:strCache>
            </c:strRef>
          </c:cat>
          <c:val>
            <c:numRef>
              <c:f>'Gráfico Dinámico Solución'!$C$4:$C$12</c:f>
              <c:numCache>
                <c:formatCode>_(* #,##0.00_);_(* \(#,##0.00\);_(* "-"??_);_(@_)</c:formatCode>
                <c:ptCount val="8"/>
                <c:pt idx="0">
                  <c:v>20</c:v>
                </c:pt>
                <c:pt idx="1">
                  <c:v>13.5</c:v>
                </c:pt>
                <c:pt idx="2">
                  <c:v>28.475999999999999</c:v>
                </c:pt>
                <c:pt idx="3">
                  <c:v>7.1818181818181817</c:v>
                </c:pt>
                <c:pt idx="4">
                  <c:v>1.8666666666666669</c:v>
                </c:pt>
                <c:pt idx="5">
                  <c:v>1.4000000000000001</c:v>
                </c:pt>
                <c:pt idx="6">
                  <c:v>2.5100000000000002</c:v>
                </c:pt>
                <c:pt idx="7">
                  <c:v>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06EB-421A-909B-6F0D234B1510}"/>
            </c:ext>
          </c:extLst>
        </c:ser>
        <c:ser>
          <c:idx val="2"/>
          <c:order val="2"/>
          <c:tx>
            <c:strRef>
              <c:f>'Gráfico Dinámico Solución'!$D$2:$D$3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'Gráfico Dinámico Solución'!$A$4:$A$12</c:f>
              <c:strCache>
                <c:ptCount val="8"/>
                <c:pt idx="0">
                  <c:v>Centro Sur</c:v>
                </c:pt>
                <c:pt idx="1">
                  <c:v>Centronorte</c:v>
                </c:pt>
                <c:pt idx="2">
                  <c:v>Noreste</c:v>
                </c:pt>
                <c:pt idx="3">
                  <c:v>Noroeste</c:v>
                </c:pt>
                <c:pt idx="4">
                  <c:v>Occidente</c:v>
                </c:pt>
                <c:pt idx="5">
                  <c:v>Oriente</c:v>
                </c:pt>
                <c:pt idx="6">
                  <c:v>SurEste</c:v>
                </c:pt>
                <c:pt idx="7">
                  <c:v>SurOeste</c:v>
                </c:pt>
              </c:strCache>
            </c:strRef>
          </c:cat>
          <c:val>
            <c:numRef>
              <c:f>'Gráfico Dinámico Solución'!$D$4:$D$12</c:f>
              <c:numCache>
                <c:formatCode>_(* #,##0.00_);_(* \(#,##0.00\);_(* "-"??_);_(@_)</c:formatCode>
                <c:ptCount val="8"/>
                <c:pt idx="3">
                  <c:v>18</c:v>
                </c:pt>
                <c:pt idx="4">
                  <c:v>8.25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6EB-421A-909B-6F0D234B1510}"/>
            </c:ext>
          </c:extLst>
        </c:ser>
        <c:ser>
          <c:idx val="3"/>
          <c:order val="3"/>
          <c:tx>
            <c:strRef>
              <c:f>'Gráfico Dinámico Solución'!$E$2:$E$3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'Gráfico Dinámico Solución'!$A$4:$A$12</c:f>
              <c:strCache>
                <c:ptCount val="8"/>
                <c:pt idx="0">
                  <c:v>Centro Sur</c:v>
                </c:pt>
                <c:pt idx="1">
                  <c:v>Centronorte</c:v>
                </c:pt>
                <c:pt idx="2">
                  <c:v>Noreste</c:v>
                </c:pt>
                <c:pt idx="3">
                  <c:v>Noroeste</c:v>
                </c:pt>
                <c:pt idx="4">
                  <c:v>Occidente</c:v>
                </c:pt>
                <c:pt idx="5">
                  <c:v>Oriente</c:v>
                </c:pt>
                <c:pt idx="6">
                  <c:v>SurEste</c:v>
                </c:pt>
                <c:pt idx="7">
                  <c:v>SurOeste</c:v>
                </c:pt>
              </c:strCache>
            </c:strRef>
          </c:cat>
          <c:val>
            <c:numRef>
              <c:f>'Gráfico Dinámico Solución'!$E$4:$E$12</c:f>
              <c:numCache>
                <c:formatCode>_(* #,##0.00_);_(* \(#,##0.00\);_(* "-"??_);_(@_)</c:formatCode>
                <c:ptCount val="8"/>
                <c:pt idx="1">
                  <c:v>270</c:v>
                </c:pt>
                <c:pt idx="2">
                  <c:v>0</c:v>
                </c:pt>
                <c:pt idx="3">
                  <c:v>130</c:v>
                </c:pt>
                <c:pt idx="4">
                  <c:v>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6EB-421A-909B-6F0D234B1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1274560"/>
        <c:axId val="1591275040"/>
      </c:barChart>
      <c:catAx>
        <c:axId val="159127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91275040"/>
        <c:crosses val="autoZero"/>
        <c:auto val="1"/>
        <c:lblAlgn val="ctr"/>
        <c:lblOffset val="100"/>
        <c:noMultiLvlLbl val="0"/>
      </c:catAx>
      <c:valAx>
        <c:axId val="15912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9127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766482</xdr:colOff>
      <xdr:row>0</xdr:row>
      <xdr:rowOff>220382</xdr:rowOff>
    </xdr:from>
    <xdr:to>
      <xdr:col>19</xdr:col>
      <xdr:colOff>36979</xdr:colOff>
      <xdr:row>22</xdr:row>
      <xdr:rowOff>169582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D4A888F-A5BD-D261-B23A-A4C00ED071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4</xdr:row>
      <xdr:rowOff>31750</xdr:rowOff>
    </xdr:from>
    <xdr:to>
      <xdr:col>9</xdr:col>
      <xdr:colOff>63500</xdr:colOff>
      <xdr:row>9</xdr:row>
      <xdr:rowOff>88900</xdr:rowOff>
    </xdr:to>
    <xdr:sp macro="[0]!Insertar_Datos" textlink="">
      <xdr:nvSpPr>
        <xdr:cNvPr id="2" name="Elipse 1">
          <a:extLst>
            <a:ext uri="{FF2B5EF4-FFF2-40B4-BE49-F238E27FC236}">
              <a16:creationId xmlns:a16="http://schemas.microsoft.com/office/drawing/2014/main" id="{C7E0668E-D5A1-BD3A-B403-138DAA6AA741}"/>
            </a:ext>
          </a:extLst>
        </xdr:cNvPr>
        <xdr:cNvSpPr/>
      </xdr:nvSpPr>
      <xdr:spPr>
        <a:xfrm>
          <a:off x="5594350" y="1524000"/>
          <a:ext cx="1397000" cy="977900"/>
        </a:xfrm>
        <a:prstGeom prst="ellipse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chemeClr val="tx1"/>
              </a:solidFill>
            </a:rPr>
            <a:t>Insertar</a:t>
          </a:r>
          <a:r>
            <a:rPr lang="es-MX" sz="1100" baseline="0">
              <a:solidFill>
                <a:schemeClr val="tx1"/>
              </a:solidFill>
            </a:rPr>
            <a:t> Información mediante Macro</a:t>
          </a:r>
          <a:endParaRPr lang="es-MX" sz="1100">
            <a:solidFill>
              <a:schemeClr val="tx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Perez" refreshedDate="45851.977548958334" createdVersion="8" refreshedVersion="8" minRefreshableVersion="3" recordCount="186" xr:uid="{3E40429A-91BF-4E06-8644-5D0A08FE6B55}">
  <cacheSource type="worksheet">
    <worksheetSource ref="A2:L188" sheet="Funciones Anidades Solución"/>
  </cacheSource>
  <cacheFields count="12">
    <cacheField name="Localidad" numFmtId="0">
      <sharedItems count="28">
        <s v="Hidalgo"/>
        <s v="Baja California Sur"/>
        <s v="Chihuahua"/>
        <s v="San Luis Potosí"/>
        <s v="Tamaulipas"/>
        <s v="Morelos"/>
        <s v="Guanajuato"/>
        <s v="Puebla"/>
        <s v="Queretaro"/>
        <s v="Michoacan"/>
        <s v="Nuevo León"/>
        <s v="Tabasco"/>
        <s v="Aguascalientes"/>
        <s v="Yucatán"/>
        <s v="Quintana Roo"/>
        <s v="Campeche"/>
        <s v="Colima"/>
        <s v="Sinaloa"/>
        <s v="Nayarit"/>
        <s v="Zacatecas"/>
        <s v="Chiapas"/>
        <s v="Tlaxcala"/>
        <s v="Jalisco"/>
        <s v="Veracruz"/>
        <s v="Sonora"/>
        <s v="Coahuila"/>
        <s v="Oaxaca"/>
        <s v="Durango"/>
      </sharedItems>
    </cacheField>
    <cacheField name="Clave_Unica" numFmtId="0">
      <sharedItems/>
    </cacheField>
    <cacheField name="Producto" numFmtId="0">
      <sharedItems count="16">
        <s v="Lima"/>
        <s v="Laptop"/>
        <s v="Limón"/>
        <s v="Melón"/>
        <s v="Naranja"/>
        <s v="Cuaderno"/>
        <s v="Piña"/>
        <s v="Sandía"/>
        <s v="Toronja"/>
        <s v="Pluma"/>
        <s v="Pera"/>
        <s v="Manzana"/>
        <s v="WiFi"/>
        <s v="Luz"/>
        <s v="Netflix"/>
        <s v="Amazon"/>
      </sharedItems>
    </cacheField>
    <cacheField name="Precio" numFmtId="0">
      <sharedItems containsSemiMixedTypes="0" containsString="0" containsNumber="1" containsInteger="1" minValue="1" maxValue="500"/>
    </cacheField>
    <cacheField name="Cantitad" numFmtId="0">
      <sharedItems containsSemiMixedTypes="0" containsString="0" containsNumber="1" containsInteger="1" minValue="1" maxValue="20"/>
    </cacheField>
    <cacheField name="Total Ticket" numFmtId="0">
      <sharedItems containsSemiMixedTypes="0" containsString="0" containsNumber="1" containsInteger="1" minValue="1" maxValue="4500"/>
    </cacheField>
    <cacheField name="Tipo de producto" numFmtId="0">
      <sharedItems count="4">
        <s v="F"/>
        <s v="T"/>
        <s v="P"/>
        <s v="S"/>
      </sharedItems>
    </cacheField>
    <cacheField name="Excento" numFmtId="0">
      <sharedItems/>
    </cacheField>
    <cacheField name="Región" numFmtId="0">
      <sharedItems count="8">
        <s v="Oriente"/>
        <s v="Noroeste"/>
        <s v="Centronorte"/>
        <s v="Noreste"/>
        <s v="Centro Sur"/>
        <s v="Occidente"/>
        <s v="SurEste"/>
        <s v="SurOeste"/>
      </sharedItems>
    </cacheField>
    <cacheField name="Tasa de impuesto aplicable" numFmtId="0">
      <sharedItems containsSemiMixedTypes="0" containsString="0" containsNumber="1" minValue="0.04" maxValue="0.14000000000000001"/>
    </cacheField>
    <cacheField name="Impuesto a pagar" numFmtId="0">
      <sharedItems containsSemiMixedTypes="0" containsString="0" containsNumber="1" minValue="0" maxValue="540"/>
    </cacheField>
    <cacheField name="semáforo" numFmtId="0">
      <sharedItems containsSemiMixedTypes="0" containsString="0" containsNumber="1" minValue="0" maxValue="5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6">
  <r>
    <x v="0"/>
    <s v="F_Li_A"/>
    <x v="0"/>
    <n v="8"/>
    <n v="14"/>
    <n v="112"/>
    <x v="0"/>
    <s v="No aplica impuestos"/>
    <x v="0"/>
    <n v="7.0000000000000007E-2"/>
    <n v="0"/>
    <n v="0"/>
  </r>
  <r>
    <x v="1"/>
    <s v="T_L_A"/>
    <x v="1"/>
    <n v="500"/>
    <n v="4"/>
    <n v="2000"/>
    <x v="1"/>
    <s v="Aplica"/>
    <x v="1"/>
    <n v="0.13"/>
    <n v="260"/>
    <n v="260"/>
  </r>
  <r>
    <x v="2"/>
    <s v="F_Li_A"/>
    <x v="0"/>
    <n v="8"/>
    <n v="10"/>
    <n v="80"/>
    <x v="0"/>
    <s v="No aplica impuestos"/>
    <x v="1"/>
    <n v="0.05"/>
    <n v="0"/>
    <n v="0"/>
  </r>
  <r>
    <x v="3"/>
    <s v="F_L_A"/>
    <x v="2"/>
    <n v="1"/>
    <n v="20"/>
    <n v="20"/>
    <x v="0"/>
    <s v="Aplica"/>
    <x v="2"/>
    <n v="7.0000000000000007E-2"/>
    <n v="1.4000000000000001"/>
    <n v="1.4000000000000001"/>
  </r>
  <r>
    <x v="1"/>
    <s v="F_M_C/S"/>
    <x v="3"/>
    <n v="4"/>
    <n v="17"/>
    <n v="68"/>
    <x v="0"/>
    <s v="No aplica impuestos"/>
    <x v="1"/>
    <n v="0.05"/>
    <n v="0"/>
    <n v="0"/>
  </r>
  <r>
    <x v="4"/>
    <s v="F_N_A"/>
    <x v="4"/>
    <n v="5"/>
    <n v="16"/>
    <n v="80"/>
    <x v="0"/>
    <s v="Aplica"/>
    <x v="3"/>
    <n v="0.08"/>
    <n v="6.4"/>
    <n v="6.4"/>
  </r>
  <r>
    <x v="5"/>
    <s v="P_C_Grande"/>
    <x v="5"/>
    <n v="14"/>
    <n v="15"/>
    <n v="210"/>
    <x v="2"/>
    <s v="Aplica"/>
    <x v="4"/>
    <n v="0.1"/>
    <n v="21"/>
    <n v="21"/>
  </r>
  <r>
    <x v="6"/>
    <s v="P_C_Chico"/>
    <x v="5"/>
    <n v="20"/>
    <n v="10"/>
    <n v="200"/>
    <x v="2"/>
    <s v="Aplica"/>
    <x v="2"/>
    <n v="0.09"/>
    <n v="18"/>
    <n v="18"/>
  </r>
  <r>
    <x v="1"/>
    <s v="P_C_Grande"/>
    <x v="5"/>
    <n v="14"/>
    <n v="7"/>
    <n v="98"/>
    <x v="2"/>
    <s v="No aplica impuestos"/>
    <x v="1"/>
    <n v="0.1"/>
    <n v="0"/>
    <n v="0"/>
  </r>
  <r>
    <x v="7"/>
    <s v="F_P_A"/>
    <x v="6"/>
    <n v="7"/>
    <n v="18"/>
    <n v="126"/>
    <x v="0"/>
    <s v="Aplica"/>
    <x v="0"/>
    <n v="7.0000000000000007E-2"/>
    <n v="8.82"/>
    <n v="8.82"/>
  </r>
  <r>
    <x v="8"/>
    <s v="F_S_S/S"/>
    <x v="7"/>
    <n v="10"/>
    <n v="9"/>
    <n v="90"/>
    <x v="0"/>
    <s v="Aplica"/>
    <x v="2"/>
    <n v="7.0000000000000007E-2"/>
    <n v="6.3000000000000007"/>
    <n v="6.3000000000000007"/>
  </r>
  <r>
    <x v="9"/>
    <s v="F_T_A"/>
    <x v="8"/>
    <n v="7"/>
    <n v="12"/>
    <n v="84"/>
    <x v="0"/>
    <s v="No aplica impuestos"/>
    <x v="5"/>
    <n v="0.11"/>
    <n v="0"/>
    <n v="0"/>
  </r>
  <r>
    <x v="10"/>
    <s v="F_T_A"/>
    <x v="8"/>
    <n v="7"/>
    <n v="15"/>
    <n v="105"/>
    <x v="0"/>
    <s v="No aplica impuestos"/>
    <x v="3"/>
    <n v="0.08"/>
    <n v="0"/>
    <n v="0"/>
  </r>
  <r>
    <x v="8"/>
    <s v="P_C_Grande"/>
    <x v="5"/>
    <n v="14"/>
    <n v="20"/>
    <n v="280"/>
    <x v="2"/>
    <s v="Aplica"/>
    <x v="2"/>
    <n v="0.09"/>
    <n v="25.2"/>
    <n v="25.2"/>
  </r>
  <r>
    <x v="11"/>
    <s v="P_P_Roja"/>
    <x v="9"/>
    <n v="19"/>
    <n v="11"/>
    <n v="209"/>
    <x v="2"/>
    <s v="Aplica"/>
    <x v="6"/>
    <n v="7.0000000000000007E-2"/>
    <n v="14.63"/>
    <n v="14.63"/>
  </r>
  <r>
    <x v="12"/>
    <s v="F_P_Cafe"/>
    <x v="10"/>
    <n v="9"/>
    <n v="15"/>
    <n v="135"/>
    <x v="0"/>
    <s v="Aplica"/>
    <x v="2"/>
    <n v="7.0000000000000007E-2"/>
    <n v="9.4500000000000011"/>
    <n v="9.4500000000000011"/>
  </r>
  <r>
    <x v="13"/>
    <s v="F_Li_A"/>
    <x v="0"/>
    <n v="8"/>
    <n v="3"/>
    <n v="24"/>
    <x v="0"/>
    <s v="No aplica impuestos"/>
    <x v="6"/>
    <n v="7.0000000000000007E-2"/>
    <n v="0"/>
    <n v="0"/>
  </r>
  <r>
    <x v="12"/>
    <s v="F_M_Verde"/>
    <x v="11"/>
    <n v="4"/>
    <n v="7"/>
    <n v="28"/>
    <x v="0"/>
    <s v="No aplica impuestos"/>
    <x v="2"/>
    <n v="7.0000000000000007E-2"/>
    <n v="0"/>
    <n v="0"/>
  </r>
  <r>
    <x v="14"/>
    <s v="P_P_Negra"/>
    <x v="9"/>
    <n v="19"/>
    <n v="15"/>
    <n v="285"/>
    <x v="2"/>
    <s v="No aplica impuestos"/>
    <x v="6"/>
    <n v="7.0000000000000007E-2"/>
    <n v="0"/>
    <n v="0"/>
  </r>
  <r>
    <x v="15"/>
    <s v="F_P_Roja"/>
    <x v="10"/>
    <n v="5"/>
    <n v="4"/>
    <n v="20"/>
    <x v="0"/>
    <s v="No aplica impuestos"/>
    <x v="6"/>
    <n v="7.0000000000000007E-2"/>
    <n v="0"/>
    <n v="0"/>
  </r>
  <r>
    <x v="16"/>
    <s v="F_P_Verde"/>
    <x v="10"/>
    <n v="1"/>
    <n v="3"/>
    <n v="3"/>
    <x v="0"/>
    <s v="Aplica"/>
    <x v="5"/>
    <n v="0.11"/>
    <n v="0.33"/>
    <n v="0.33"/>
  </r>
  <r>
    <x v="17"/>
    <s v="P_C_Grande"/>
    <x v="5"/>
    <n v="14"/>
    <n v="17"/>
    <n v="238"/>
    <x v="2"/>
    <s v="No aplica impuestos"/>
    <x v="1"/>
    <n v="0.1"/>
    <n v="0"/>
    <n v="0"/>
  </r>
  <r>
    <x v="9"/>
    <s v="F_S_S/S"/>
    <x v="7"/>
    <n v="10"/>
    <n v="5"/>
    <n v="50"/>
    <x v="0"/>
    <s v="No aplica impuestos"/>
    <x v="5"/>
    <n v="0.11"/>
    <n v="0"/>
    <n v="0"/>
  </r>
  <r>
    <x v="0"/>
    <s v="F_M_Verde"/>
    <x v="11"/>
    <n v="4"/>
    <n v="19"/>
    <n v="76"/>
    <x v="0"/>
    <s v="No aplica impuestos"/>
    <x v="0"/>
    <n v="7.0000000000000007E-2"/>
    <n v="0"/>
    <n v="0"/>
  </r>
  <r>
    <x v="4"/>
    <s v="F_S_S/S"/>
    <x v="7"/>
    <n v="10"/>
    <n v="10"/>
    <n v="100"/>
    <x v="0"/>
    <s v="No aplica impuestos"/>
    <x v="3"/>
    <n v="0.08"/>
    <n v="0"/>
    <n v="0"/>
  </r>
  <r>
    <x v="1"/>
    <s v="F_M_Verde"/>
    <x v="11"/>
    <n v="4"/>
    <n v="14"/>
    <n v="56"/>
    <x v="0"/>
    <s v="Aplica"/>
    <x v="1"/>
    <n v="0.05"/>
    <n v="2.8000000000000003"/>
    <n v="2.8000000000000003"/>
  </r>
  <r>
    <x v="18"/>
    <s v="F_P_Verde"/>
    <x v="10"/>
    <n v="1"/>
    <n v="4"/>
    <n v="4"/>
    <x v="0"/>
    <s v="Aplica"/>
    <x v="5"/>
    <n v="0.11"/>
    <n v="0.44"/>
    <n v="0.44"/>
  </r>
  <r>
    <x v="4"/>
    <s v="F_P_Roja"/>
    <x v="10"/>
    <n v="5"/>
    <n v="17"/>
    <n v="85"/>
    <x v="0"/>
    <s v="Aplica"/>
    <x v="3"/>
    <n v="0.08"/>
    <n v="6.8"/>
    <n v="6.8"/>
  </r>
  <r>
    <x v="19"/>
    <s v="F_S_C/S"/>
    <x v="7"/>
    <n v="8"/>
    <n v="18"/>
    <n v="144"/>
    <x v="0"/>
    <s v="Aplica"/>
    <x v="2"/>
    <n v="7.0000000000000007E-2"/>
    <n v="10.080000000000002"/>
    <n v="10.080000000000002"/>
  </r>
  <r>
    <x v="20"/>
    <s v="F_P_Cafe"/>
    <x v="10"/>
    <n v="9"/>
    <n v="19"/>
    <n v="171"/>
    <x v="0"/>
    <s v="Aplica"/>
    <x v="7"/>
    <n v="0.11"/>
    <n v="18.809999999999999"/>
    <n v="18.809999999999999"/>
  </r>
  <r>
    <x v="13"/>
    <s v="F_S_S/S"/>
    <x v="7"/>
    <n v="10"/>
    <n v="13"/>
    <n v="130"/>
    <x v="0"/>
    <s v="Aplica"/>
    <x v="6"/>
    <n v="7.0000000000000007E-2"/>
    <n v="9.1000000000000014"/>
    <n v="9.1000000000000014"/>
  </r>
  <r>
    <x v="2"/>
    <s v="F_T_A"/>
    <x v="8"/>
    <n v="7"/>
    <n v="5"/>
    <n v="35"/>
    <x v="0"/>
    <s v="Aplica"/>
    <x v="1"/>
    <n v="0.05"/>
    <n v="1.75"/>
    <n v="1.75"/>
  </r>
  <r>
    <x v="12"/>
    <s v="P_P_Negra"/>
    <x v="9"/>
    <n v="19"/>
    <n v="18"/>
    <n v="342"/>
    <x v="2"/>
    <s v="Aplica"/>
    <x v="2"/>
    <n v="0.09"/>
    <n v="30.779999999999998"/>
    <n v="30.779999999999998"/>
  </r>
  <r>
    <x v="3"/>
    <s v="F_P_P_Azul"/>
    <x v="9"/>
    <n v="11"/>
    <n v="8"/>
    <n v="88"/>
    <x v="0"/>
    <s v="No aplica impuestos"/>
    <x v="2"/>
    <n v="7.0000000000000007E-2"/>
    <n v="0"/>
    <n v="0"/>
  </r>
  <r>
    <x v="19"/>
    <s v="F_S_C/S"/>
    <x v="7"/>
    <n v="8"/>
    <n v="4"/>
    <n v="32"/>
    <x v="0"/>
    <s v="No aplica impuestos"/>
    <x v="2"/>
    <n v="7.0000000000000007E-2"/>
    <n v="0"/>
    <n v="0"/>
  </r>
  <r>
    <x v="0"/>
    <s v="F_N_A"/>
    <x v="4"/>
    <n v="5"/>
    <n v="15"/>
    <n v="75"/>
    <x v="0"/>
    <s v="Aplica"/>
    <x v="0"/>
    <n v="7.0000000000000007E-2"/>
    <n v="5.2500000000000009"/>
    <n v="5.2500000000000009"/>
  </r>
  <r>
    <x v="15"/>
    <s v="P_C_Grande"/>
    <x v="5"/>
    <n v="14"/>
    <n v="15"/>
    <n v="210"/>
    <x v="2"/>
    <s v="No aplica impuestos"/>
    <x v="6"/>
    <n v="7.0000000000000007E-2"/>
    <n v="0"/>
    <n v="0"/>
  </r>
  <r>
    <x v="14"/>
    <s v="P_C_Grande"/>
    <x v="5"/>
    <n v="14"/>
    <n v="5"/>
    <n v="70"/>
    <x v="2"/>
    <s v="No aplica impuestos"/>
    <x v="6"/>
    <n v="7.0000000000000007E-2"/>
    <n v="0"/>
    <n v="0"/>
  </r>
  <r>
    <x v="21"/>
    <s v="F_Li_A"/>
    <x v="0"/>
    <n v="8"/>
    <n v="1"/>
    <n v="8"/>
    <x v="0"/>
    <s v="No aplica impuestos"/>
    <x v="0"/>
    <n v="7.0000000000000007E-2"/>
    <n v="0"/>
    <n v="0"/>
  </r>
  <r>
    <x v="14"/>
    <s v="F_M_Amarilla"/>
    <x v="11"/>
    <n v="9"/>
    <n v="9"/>
    <n v="81"/>
    <x v="0"/>
    <s v="Aplica"/>
    <x v="6"/>
    <n v="7.0000000000000007E-2"/>
    <n v="5.6700000000000008"/>
    <n v="5.6700000000000008"/>
  </r>
  <r>
    <x v="16"/>
    <s v="F_M_Amarilla"/>
    <x v="11"/>
    <n v="9"/>
    <n v="12"/>
    <n v="108"/>
    <x v="0"/>
    <s v="No aplica impuestos"/>
    <x v="5"/>
    <n v="0.11"/>
    <n v="0"/>
    <n v="0"/>
  </r>
  <r>
    <x v="5"/>
    <s v="P_P_Negra"/>
    <x v="9"/>
    <n v="19"/>
    <n v="10"/>
    <n v="190"/>
    <x v="2"/>
    <s v="Aplica"/>
    <x v="4"/>
    <n v="0.1"/>
    <n v="19"/>
    <n v="19"/>
  </r>
  <r>
    <x v="12"/>
    <s v="F_M_S/S"/>
    <x v="3"/>
    <n v="5"/>
    <n v="14"/>
    <n v="70"/>
    <x v="0"/>
    <s v="Aplica"/>
    <x v="2"/>
    <n v="7.0000000000000007E-2"/>
    <n v="4.9000000000000004"/>
    <n v="4.9000000000000004"/>
  </r>
  <r>
    <x v="16"/>
    <s v="P_C_Grande"/>
    <x v="5"/>
    <n v="14"/>
    <n v="15"/>
    <n v="210"/>
    <x v="2"/>
    <s v="Aplica"/>
    <x v="5"/>
    <n v="0.04"/>
    <n v="8.4"/>
    <n v="8.4"/>
  </r>
  <r>
    <x v="18"/>
    <s v="F_P_Verde"/>
    <x v="10"/>
    <n v="1"/>
    <n v="2"/>
    <n v="2"/>
    <x v="0"/>
    <s v="Aplica"/>
    <x v="5"/>
    <n v="0.11"/>
    <n v="0.22"/>
    <n v="0.22"/>
  </r>
  <r>
    <x v="2"/>
    <s v="F_P_Roja"/>
    <x v="10"/>
    <n v="5"/>
    <n v="3"/>
    <n v="15"/>
    <x v="0"/>
    <s v="No aplica impuestos"/>
    <x v="1"/>
    <n v="0.05"/>
    <n v="0"/>
    <n v="0"/>
  </r>
  <r>
    <x v="22"/>
    <s v="F_L_A"/>
    <x v="2"/>
    <n v="1"/>
    <n v="4"/>
    <n v="4"/>
    <x v="0"/>
    <s v="No aplica impuestos"/>
    <x v="5"/>
    <n v="0.11"/>
    <n v="0"/>
    <n v="0"/>
  </r>
  <r>
    <x v="8"/>
    <s v="P_C_Grande"/>
    <x v="5"/>
    <n v="14"/>
    <n v="2"/>
    <n v="28"/>
    <x v="2"/>
    <s v="No aplica impuestos"/>
    <x v="2"/>
    <n v="0.09"/>
    <n v="0"/>
    <n v="0"/>
  </r>
  <r>
    <x v="1"/>
    <s v="F_S_C/S"/>
    <x v="7"/>
    <n v="8"/>
    <n v="1"/>
    <n v="8"/>
    <x v="0"/>
    <s v="Aplica"/>
    <x v="1"/>
    <n v="0.05"/>
    <n v="0.4"/>
    <n v="0.4"/>
  </r>
  <r>
    <x v="3"/>
    <s v="F_M_Roja"/>
    <x v="11"/>
    <n v="3"/>
    <n v="20"/>
    <n v="60"/>
    <x v="0"/>
    <s v="No aplica impuestos"/>
    <x v="2"/>
    <n v="7.0000000000000007E-2"/>
    <n v="0"/>
    <n v="0"/>
  </r>
  <r>
    <x v="16"/>
    <s v="P_C_Grande"/>
    <x v="5"/>
    <n v="14"/>
    <n v="13"/>
    <n v="182"/>
    <x v="2"/>
    <s v="No aplica impuestos"/>
    <x v="5"/>
    <n v="0.04"/>
    <n v="0"/>
    <n v="0"/>
  </r>
  <r>
    <x v="2"/>
    <s v="T_L_A"/>
    <x v="1"/>
    <n v="500"/>
    <n v="5"/>
    <n v="2500"/>
    <x v="1"/>
    <s v="No aplica impuestos"/>
    <x v="1"/>
    <n v="0.13"/>
    <n v="0"/>
    <n v="0"/>
  </r>
  <r>
    <x v="20"/>
    <s v="F_M_S/S"/>
    <x v="3"/>
    <n v="5"/>
    <n v="14"/>
    <n v="70"/>
    <x v="0"/>
    <s v="Aplica"/>
    <x v="7"/>
    <n v="0.11"/>
    <n v="7.7"/>
    <n v="7.7"/>
  </r>
  <r>
    <x v="12"/>
    <s v="F_P_A"/>
    <x v="6"/>
    <n v="7"/>
    <n v="2"/>
    <n v="14"/>
    <x v="0"/>
    <s v="No aplica impuestos"/>
    <x v="2"/>
    <n v="7.0000000000000007E-2"/>
    <n v="0"/>
    <n v="0"/>
  </r>
  <r>
    <x v="14"/>
    <s v="F_M_Verde"/>
    <x v="11"/>
    <n v="4"/>
    <n v="8"/>
    <n v="32"/>
    <x v="0"/>
    <s v="Aplica"/>
    <x v="6"/>
    <n v="7.0000000000000007E-2"/>
    <n v="2.2400000000000002"/>
    <n v="2.2400000000000002"/>
  </r>
  <r>
    <x v="9"/>
    <s v="F_P_P_Azul"/>
    <x v="9"/>
    <n v="11"/>
    <n v="1"/>
    <n v="11"/>
    <x v="0"/>
    <s v="Aplica"/>
    <x v="5"/>
    <n v="0.11"/>
    <n v="1.21"/>
    <n v="1.21"/>
  </r>
  <r>
    <x v="23"/>
    <s v="F_M_S/S"/>
    <x v="3"/>
    <n v="5"/>
    <n v="13"/>
    <n v="65"/>
    <x v="0"/>
    <s v="No aplica impuestos"/>
    <x v="0"/>
    <n v="7.0000000000000007E-2"/>
    <n v="0"/>
    <n v="0"/>
  </r>
  <r>
    <x v="2"/>
    <s v="F_N_A"/>
    <x v="4"/>
    <n v="5"/>
    <n v="16"/>
    <n v="80"/>
    <x v="0"/>
    <s v="No aplica impuestos"/>
    <x v="1"/>
    <n v="0.05"/>
    <n v="0"/>
    <n v="0"/>
  </r>
  <r>
    <x v="17"/>
    <s v="P_P_Roja"/>
    <x v="9"/>
    <n v="19"/>
    <n v="15"/>
    <n v="285"/>
    <x v="2"/>
    <s v="No aplica impuestos"/>
    <x v="1"/>
    <n v="0.1"/>
    <n v="0"/>
    <n v="0"/>
  </r>
  <r>
    <x v="4"/>
    <s v="F_Li_A"/>
    <x v="0"/>
    <n v="8"/>
    <n v="14"/>
    <n v="112"/>
    <x v="0"/>
    <s v="Aplica"/>
    <x v="3"/>
    <n v="0.08"/>
    <n v="8.9600000000000009"/>
    <n v="8.9600000000000009"/>
  </r>
  <r>
    <x v="10"/>
    <s v="F_M_S/S"/>
    <x v="3"/>
    <n v="5"/>
    <n v="1"/>
    <n v="5"/>
    <x v="0"/>
    <s v="No aplica impuestos"/>
    <x v="3"/>
    <n v="0.08"/>
    <n v="0"/>
    <n v="0"/>
  </r>
  <r>
    <x v="24"/>
    <s v="F_N_A"/>
    <x v="4"/>
    <n v="5"/>
    <n v="15"/>
    <n v="75"/>
    <x v="0"/>
    <s v="Aplica"/>
    <x v="1"/>
    <n v="0.05"/>
    <n v="3.75"/>
    <n v="3.75"/>
  </r>
  <r>
    <x v="0"/>
    <s v="F_P_Cafe"/>
    <x v="10"/>
    <n v="9"/>
    <n v="11"/>
    <n v="99"/>
    <x v="0"/>
    <s v="Aplica"/>
    <x v="0"/>
    <n v="7.0000000000000007E-2"/>
    <n v="6.9300000000000006"/>
    <n v="6.9300000000000006"/>
  </r>
  <r>
    <x v="20"/>
    <s v="P_P_Negra"/>
    <x v="9"/>
    <n v="19"/>
    <n v="15"/>
    <n v="285"/>
    <x v="2"/>
    <s v="No aplica impuestos"/>
    <x v="7"/>
    <n v="0.13"/>
    <n v="0"/>
    <n v="0"/>
  </r>
  <r>
    <x v="2"/>
    <s v="F_P_Roja"/>
    <x v="10"/>
    <n v="5"/>
    <n v="2"/>
    <n v="10"/>
    <x v="0"/>
    <s v="Aplica"/>
    <x v="1"/>
    <n v="0.05"/>
    <n v="0.5"/>
    <n v="0.5"/>
  </r>
  <r>
    <x v="21"/>
    <s v="P_P_Negra"/>
    <x v="9"/>
    <n v="19"/>
    <n v="11"/>
    <n v="209"/>
    <x v="2"/>
    <s v="No aplica impuestos"/>
    <x v="0"/>
    <n v="0.1"/>
    <n v="0"/>
    <n v="0"/>
  </r>
  <r>
    <x v="3"/>
    <s v="F_P_A"/>
    <x v="6"/>
    <n v="7"/>
    <n v="20"/>
    <n v="140"/>
    <x v="0"/>
    <s v="No aplica impuestos"/>
    <x v="2"/>
    <n v="7.0000000000000007E-2"/>
    <n v="0"/>
    <n v="0"/>
  </r>
  <r>
    <x v="6"/>
    <s v="F_L_A"/>
    <x v="2"/>
    <n v="1"/>
    <n v="13"/>
    <n v="13"/>
    <x v="0"/>
    <s v="No aplica impuestos"/>
    <x v="2"/>
    <n v="7.0000000000000007E-2"/>
    <n v="0"/>
    <n v="0"/>
  </r>
  <r>
    <x v="14"/>
    <s v="F_P_Verde"/>
    <x v="10"/>
    <n v="1"/>
    <n v="10"/>
    <n v="10"/>
    <x v="0"/>
    <s v="No aplica impuestos"/>
    <x v="6"/>
    <n v="7.0000000000000007E-2"/>
    <n v="0"/>
    <n v="0"/>
  </r>
  <r>
    <x v="2"/>
    <s v="P_C_Grande"/>
    <x v="5"/>
    <n v="14"/>
    <n v="16"/>
    <n v="224"/>
    <x v="2"/>
    <s v="No aplica impuestos"/>
    <x v="1"/>
    <n v="0.1"/>
    <n v="0"/>
    <n v="0"/>
  </r>
  <r>
    <x v="7"/>
    <s v="F_P_P_Azul"/>
    <x v="9"/>
    <n v="11"/>
    <n v="20"/>
    <n v="220"/>
    <x v="0"/>
    <s v="No aplica impuestos"/>
    <x v="0"/>
    <n v="7.0000000000000007E-2"/>
    <n v="0"/>
    <n v="0"/>
  </r>
  <r>
    <x v="7"/>
    <s v="P_P_Roja"/>
    <x v="9"/>
    <n v="19"/>
    <n v="7"/>
    <n v="133"/>
    <x v="2"/>
    <s v="No aplica impuestos"/>
    <x v="0"/>
    <n v="0.1"/>
    <n v="0"/>
    <n v="0"/>
  </r>
  <r>
    <x v="6"/>
    <s v="F_M_Roja"/>
    <x v="11"/>
    <n v="3"/>
    <n v="12"/>
    <n v="36"/>
    <x v="0"/>
    <s v="Aplica"/>
    <x v="2"/>
    <n v="7.0000000000000007E-2"/>
    <n v="2.5200000000000005"/>
    <n v="2.5200000000000005"/>
  </r>
  <r>
    <x v="13"/>
    <s v="F_L_A"/>
    <x v="2"/>
    <n v="1"/>
    <n v="11"/>
    <n v="11"/>
    <x v="0"/>
    <s v="No aplica impuestos"/>
    <x v="6"/>
    <n v="7.0000000000000007E-2"/>
    <n v="0"/>
    <n v="0"/>
  </r>
  <r>
    <x v="8"/>
    <s v="F_M_C/S"/>
    <x v="3"/>
    <n v="4"/>
    <n v="15"/>
    <n v="60"/>
    <x v="0"/>
    <s v="No aplica impuestos"/>
    <x v="2"/>
    <n v="7.0000000000000007E-2"/>
    <n v="0"/>
    <n v="0"/>
  </r>
  <r>
    <x v="20"/>
    <s v="F_P_Verde"/>
    <x v="10"/>
    <n v="1"/>
    <n v="12"/>
    <n v="12"/>
    <x v="0"/>
    <s v="No aplica impuestos"/>
    <x v="7"/>
    <n v="0.11"/>
    <n v="0"/>
    <n v="0"/>
  </r>
  <r>
    <x v="14"/>
    <s v="F_S_C/S"/>
    <x v="7"/>
    <n v="8"/>
    <n v="5"/>
    <n v="40"/>
    <x v="0"/>
    <s v="No aplica impuestos"/>
    <x v="6"/>
    <n v="7.0000000000000007E-2"/>
    <n v="0"/>
    <n v="0"/>
  </r>
  <r>
    <x v="5"/>
    <s v="F_P_Cafe"/>
    <x v="10"/>
    <n v="9"/>
    <n v="11"/>
    <n v="99"/>
    <x v="0"/>
    <s v="Aplica"/>
    <x v="4"/>
    <n v="0.13"/>
    <n v="12.870000000000001"/>
    <n v="12.870000000000001"/>
  </r>
  <r>
    <x v="4"/>
    <s v="F_Li_A"/>
    <x v="0"/>
    <n v="8"/>
    <n v="19"/>
    <n v="152"/>
    <x v="0"/>
    <s v="Aplica"/>
    <x v="3"/>
    <n v="0.08"/>
    <n v="12.16"/>
    <n v="12.16"/>
  </r>
  <r>
    <x v="5"/>
    <s v="F_P_Roja"/>
    <x v="10"/>
    <n v="5"/>
    <n v="8"/>
    <n v="40"/>
    <x v="0"/>
    <s v="No aplica impuestos"/>
    <x v="4"/>
    <n v="0.13"/>
    <n v="0"/>
    <n v="0"/>
  </r>
  <r>
    <x v="25"/>
    <s v="T_L_A"/>
    <x v="1"/>
    <n v="500"/>
    <n v="9"/>
    <n v="4500"/>
    <x v="1"/>
    <s v="No aplica impuestos"/>
    <x v="3"/>
    <n v="0.1"/>
    <n v="0"/>
    <n v="0"/>
  </r>
  <r>
    <x v="16"/>
    <s v="F_T_A"/>
    <x v="8"/>
    <n v="7"/>
    <n v="7"/>
    <n v="49"/>
    <x v="0"/>
    <s v="Aplica"/>
    <x v="5"/>
    <n v="0.11"/>
    <n v="5.39"/>
    <n v="5.39"/>
  </r>
  <r>
    <x v="16"/>
    <s v="T_L_A"/>
    <x v="1"/>
    <n v="500"/>
    <n v="6"/>
    <n v="3000"/>
    <x v="1"/>
    <s v="Aplica"/>
    <x v="5"/>
    <n v="0.14000000000000001"/>
    <n v="420.00000000000006"/>
    <n v="420.00000000000006"/>
  </r>
  <r>
    <x v="22"/>
    <s v="P_P_Roja"/>
    <x v="9"/>
    <n v="19"/>
    <n v="4"/>
    <n v="76"/>
    <x v="2"/>
    <s v="No aplica impuestos"/>
    <x v="5"/>
    <n v="0.04"/>
    <n v="0"/>
    <n v="0"/>
  </r>
  <r>
    <x v="14"/>
    <s v="F_M_Verde"/>
    <x v="11"/>
    <n v="4"/>
    <n v="17"/>
    <n v="68"/>
    <x v="0"/>
    <s v="No aplica impuestos"/>
    <x v="6"/>
    <n v="7.0000000000000007E-2"/>
    <n v="0"/>
    <n v="0"/>
  </r>
  <r>
    <x v="6"/>
    <s v="F_M_Roja"/>
    <x v="11"/>
    <n v="3"/>
    <n v="10"/>
    <n v="30"/>
    <x v="0"/>
    <s v="No aplica impuestos"/>
    <x v="2"/>
    <n v="7.0000000000000007E-2"/>
    <n v="0"/>
    <n v="0"/>
  </r>
  <r>
    <x v="14"/>
    <s v="F_M_S/S"/>
    <x v="3"/>
    <n v="5"/>
    <n v="10"/>
    <n v="50"/>
    <x v="0"/>
    <s v="Aplica"/>
    <x v="6"/>
    <n v="7.0000000000000007E-2"/>
    <n v="3.5000000000000004"/>
    <n v="3.5000000000000004"/>
  </r>
  <r>
    <x v="3"/>
    <s v="F_Li_A"/>
    <x v="0"/>
    <n v="8"/>
    <n v="5"/>
    <n v="40"/>
    <x v="0"/>
    <s v="No aplica impuestos"/>
    <x v="2"/>
    <n v="7.0000000000000007E-2"/>
    <n v="0"/>
    <n v="0"/>
  </r>
  <r>
    <x v="26"/>
    <s v="F_P_Roja"/>
    <x v="10"/>
    <n v="5"/>
    <n v="18"/>
    <n v="90"/>
    <x v="0"/>
    <s v="Aplica"/>
    <x v="7"/>
    <n v="0.11"/>
    <n v="9.9"/>
    <n v="9.9"/>
  </r>
  <r>
    <x v="17"/>
    <s v="F_M_C/S"/>
    <x v="3"/>
    <n v="4"/>
    <n v="20"/>
    <n v="80"/>
    <x v="0"/>
    <s v="Aplica"/>
    <x v="1"/>
    <n v="0.05"/>
    <n v="4"/>
    <n v="4"/>
  </r>
  <r>
    <x v="25"/>
    <s v="F_M_Roja"/>
    <x v="11"/>
    <n v="3"/>
    <n v="9"/>
    <n v="27"/>
    <x v="0"/>
    <s v="Aplica"/>
    <x v="3"/>
    <n v="0.08"/>
    <n v="2.16"/>
    <n v="2.16"/>
  </r>
  <r>
    <x v="17"/>
    <s v="F_N_A"/>
    <x v="4"/>
    <n v="5"/>
    <n v="18"/>
    <n v="90"/>
    <x v="0"/>
    <s v="No aplica impuestos"/>
    <x v="1"/>
    <n v="0.05"/>
    <n v="0"/>
    <n v="0"/>
  </r>
  <r>
    <x v="18"/>
    <s v="F_P_A"/>
    <x v="6"/>
    <n v="7"/>
    <n v="10"/>
    <n v="70"/>
    <x v="0"/>
    <s v="Aplica"/>
    <x v="5"/>
    <n v="0.11"/>
    <n v="7.7"/>
    <n v="7.7"/>
  </r>
  <r>
    <x v="14"/>
    <s v="F_P_Roja"/>
    <x v="10"/>
    <n v="5"/>
    <n v="8"/>
    <n v="40"/>
    <x v="0"/>
    <s v="No aplica impuestos"/>
    <x v="6"/>
    <n v="7.0000000000000007E-2"/>
    <n v="0"/>
    <n v="0"/>
  </r>
  <r>
    <x v="9"/>
    <s v="F_L_A"/>
    <x v="2"/>
    <n v="1"/>
    <n v="4"/>
    <n v="4"/>
    <x v="0"/>
    <s v="No aplica impuestos"/>
    <x v="5"/>
    <n v="0.11"/>
    <n v="0"/>
    <n v="0"/>
  </r>
  <r>
    <x v="17"/>
    <s v="F_M_Roja"/>
    <x v="11"/>
    <n v="3"/>
    <n v="17"/>
    <n v="51"/>
    <x v="0"/>
    <s v="Aplica"/>
    <x v="1"/>
    <n v="0.05"/>
    <n v="2.5500000000000003"/>
    <n v="2.5500000000000003"/>
  </r>
  <r>
    <x v="6"/>
    <s v="F_M_C/S"/>
    <x v="3"/>
    <n v="4"/>
    <n v="19"/>
    <n v="76"/>
    <x v="0"/>
    <s v="Aplica"/>
    <x v="2"/>
    <n v="7.0000000000000007E-2"/>
    <n v="5.32"/>
    <n v="5.32"/>
  </r>
  <r>
    <x v="10"/>
    <s v="F_P_Cafe"/>
    <x v="10"/>
    <n v="9"/>
    <n v="4"/>
    <n v="36"/>
    <x v="0"/>
    <s v="No aplica impuestos"/>
    <x v="3"/>
    <n v="0.08"/>
    <n v="0"/>
    <n v="0"/>
  </r>
  <r>
    <x v="24"/>
    <s v="P_C_Chico"/>
    <x v="5"/>
    <n v="20"/>
    <n v="19"/>
    <n v="380"/>
    <x v="2"/>
    <s v="No aplica impuestos"/>
    <x v="1"/>
    <n v="0.1"/>
    <n v="0"/>
    <n v="0"/>
  </r>
  <r>
    <x v="16"/>
    <s v="T_L_A"/>
    <x v="1"/>
    <n v="500"/>
    <n v="3"/>
    <n v="1500"/>
    <x v="1"/>
    <s v="Aplica"/>
    <x v="5"/>
    <n v="0.14000000000000001"/>
    <n v="210.00000000000003"/>
    <n v="210.00000000000003"/>
  </r>
  <r>
    <x v="3"/>
    <s v="F_T_A"/>
    <x v="8"/>
    <n v="7"/>
    <n v="14"/>
    <n v="98"/>
    <x v="0"/>
    <s v="No aplica impuestos"/>
    <x v="2"/>
    <n v="7.0000000000000007E-2"/>
    <n v="0"/>
    <n v="0"/>
  </r>
  <r>
    <x v="19"/>
    <s v="F_Li_A"/>
    <x v="0"/>
    <n v="8"/>
    <n v="13"/>
    <n v="104"/>
    <x v="0"/>
    <s v="No aplica impuestos"/>
    <x v="2"/>
    <n v="7.0000000000000007E-2"/>
    <n v="0"/>
    <n v="0"/>
  </r>
  <r>
    <x v="19"/>
    <s v="F_L_A"/>
    <x v="2"/>
    <n v="1"/>
    <n v="17"/>
    <n v="17"/>
    <x v="0"/>
    <s v="No aplica impuestos"/>
    <x v="2"/>
    <n v="7.0000000000000007E-2"/>
    <n v="0"/>
    <n v="0"/>
  </r>
  <r>
    <x v="4"/>
    <s v="F_S_S/S"/>
    <x v="7"/>
    <n v="10"/>
    <n v="16"/>
    <n v="160"/>
    <x v="0"/>
    <s v="No aplica impuestos"/>
    <x v="3"/>
    <n v="0.08"/>
    <n v="0"/>
    <n v="0"/>
  </r>
  <r>
    <x v="22"/>
    <s v="F_N_A"/>
    <x v="4"/>
    <n v="5"/>
    <n v="10"/>
    <n v="50"/>
    <x v="0"/>
    <s v="No aplica impuestos"/>
    <x v="5"/>
    <n v="0.11"/>
    <n v="0"/>
    <n v="0"/>
  </r>
  <r>
    <x v="1"/>
    <s v="F_T_A"/>
    <x v="8"/>
    <n v="7"/>
    <n v="20"/>
    <n v="140"/>
    <x v="0"/>
    <s v="Aplica"/>
    <x v="1"/>
    <n v="0.05"/>
    <n v="7"/>
    <n v="7"/>
  </r>
  <r>
    <x v="19"/>
    <s v="F_M_Roja"/>
    <x v="11"/>
    <n v="3"/>
    <n v="17"/>
    <n v="51"/>
    <x v="0"/>
    <s v="No aplica impuestos"/>
    <x v="2"/>
    <n v="7.0000000000000007E-2"/>
    <n v="0"/>
    <n v="0"/>
  </r>
  <r>
    <x v="14"/>
    <s v="F_M_S/S"/>
    <x v="3"/>
    <n v="5"/>
    <n v="13"/>
    <n v="65"/>
    <x v="0"/>
    <s v="Aplica"/>
    <x v="6"/>
    <n v="7.0000000000000007E-2"/>
    <n v="4.5500000000000007"/>
    <n v="4.5500000000000007"/>
  </r>
  <r>
    <x v="3"/>
    <s v="F_S_C/S"/>
    <x v="7"/>
    <n v="8"/>
    <n v="7"/>
    <n v="56"/>
    <x v="0"/>
    <s v="No aplica impuestos"/>
    <x v="2"/>
    <n v="7.0000000000000007E-2"/>
    <n v="0"/>
    <n v="0"/>
  </r>
  <r>
    <x v="3"/>
    <s v="F_T_A"/>
    <x v="8"/>
    <n v="7"/>
    <n v="11"/>
    <n v="77"/>
    <x v="0"/>
    <s v="No aplica impuestos"/>
    <x v="2"/>
    <n v="7.0000000000000007E-2"/>
    <n v="0"/>
    <n v="0"/>
  </r>
  <r>
    <x v="10"/>
    <s v="P_C_Grande"/>
    <x v="5"/>
    <n v="14"/>
    <n v="16"/>
    <n v="224"/>
    <x v="2"/>
    <s v="Aplica"/>
    <x v="3"/>
    <n v="0.14000000000000001"/>
    <n v="31.360000000000003"/>
    <n v="31.360000000000003"/>
  </r>
  <r>
    <x v="20"/>
    <s v="F_P_A"/>
    <x v="6"/>
    <n v="7"/>
    <n v="14"/>
    <n v="98"/>
    <x v="0"/>
    <s v="No aplica impuestos"/>
    <x v="7"/>
    <n v="0.11"/>
    <n v="0"/>
    <n v="0"/>
  </r>
  <r>
    <x v="27"/>
    <s v="F_L_A"/>
    <x v="2"/>
    <n v="1"/>
    <n v="18"/>
    <n v="18"/>
    <x v="0"/>
    <s v="No aplica impuestos"/>
    <x v="1"/>
    <n v="0.05"/>
    <n v="0"/>
    <n v="0"/>
  </r>
  <r>
    <x v="9"/>
    <s v="P_P_Roja"/>
    <x v="9"/>
    <n v="19"/>
    <n v="7"/>
    <n v="133"/>
    <x v="2"/>
    <s v="No aplica impuestos"/>
    <x v="5"/>
    <n v="0.04"/>
    <n v="0"/>
    <n v="0"/>
  </r>
  <r>
    <x v="3"/>
    <s v="P_C_Lineas"/>
    <x v="5"/>
    <n v="13"/>
    <n v="6"/>
    <n v="78"/>
    <x v="2"/>
    <s v="Aplica"/>
    <x v="2"/>
    <n v="0.09"/>
    <n v="7.02"/>
    <n v="7.02"/>
  </r>
  <r>
    <x v="2"/>
    <s v="P_C_Chico"/>
    <x v="5"/>
    <n v="20"/>
    <n v="6"/>
    <n v="120"/>
    <x v="2"/>
    <s v="No aplica impuestos"/>
    <x v="1"/>
    <n v="0.1"/>
    <n v="0"/>
    <n v="0"/>
  </r>
  <r>
    <x v="6"/>
    <s v="P_C_Grande"/>
    <x v="5"/>
    <n v="14"/>
    <n v="16"/>
    <n v="224"/>
    <x v="2"/>
    <s v="No aplica impuestos"/>
    <x v="2"/>
    <n v="0.09"/>
    <n v="0"/>
    <n v="0"/>
  </r>
  <r>
    <x v="25"/>
    <s v="P_P_Roja"/>
    <x v="9"/>
    <n v="19"/>
    <n v="15"/>
    <n v="285"/>
    <x v="2"/>
    <s v="Aplica"/>
    <x v="3"/>
    <n v="0.14000000000000001"/>
    <n v="39.900000000000006"/>
    <n v="39.900000000000006"/>
  </r>
  <r>
    <x v="26"/>
    <s v="F_S_C/S"/>
    <x v="7"/>
    <n v="8"/>
    <n v="9"/>
    <n v="72"/>
    <x v="0"/>
    <s v="Aplica"/>
    <x v="7"/>
    <n v="0.11"/>
    <n v="7.92"/>
    <n v="7.92"/>
  </r>
  <r>
    <x v="3"/>
    <s v="F_Li_A"/>
    <x v="0"/>
    <n v="8"/>
    <n v="13"/>
    <n v="104"/>
    <x v="0"/>
    <s v="Aplica"/>
    <x v="2"/>
    <n v="7.0000000000000007E-2"/>
    <n v="7.2800000000000011"/>
    <n v="7.2800000000000011"/>
  </r>
  <r>
    <x v="23"/>
    <s v="F_P_A"/>
    <x v="6"/>
    <n v="7"/>
    <n v="8"/>
    <n v="56"/>
    <x v="0"/>
    <s v="No aplica impuestos"/>
    <x v="0"/>
    <n v="7.0000000000000007E-2"/>
    <n v="0"/>
    <n v="0"/>
  </r>
  <r>
    <x v="27"/>
    <s v="F_P_Roja"/>
    <x v="10"/>
    <n v="5"/>
    <n v="5"/>
    <n v="25"/>
    <x v="0"/>
    <s v="Aplica"/>
    <x v="1"/>
    <n v="0.05"/>
    <n v="1.25"/>
    <n v="1.25"/>
  </r>
  <r>
    <x v="25"/>
    <s v="F_M_Roja"/>
    <x v="11"/>
    <n v="3"/>
    <n v="14"/>
    <n v="42"/>
    <x v="0"/>
    <s v="No aplica impuestos"/>
    <x v="3"/>
    <n v="0.08"/>
    <n v="0"/>
    <n v="0"/>
  </r>
  <r>
    <x v="23"/>
    <s v="F_P_A"/>
    <x v="6"/>
    <n v="7"/>
    <n v="8"/>
    <n v="56"/>
    <x v="0"/>
    <s v="Aplica"/>
    <x v="0"/>
    <n v="7.0000000000000007E-2"/>
    <n v="3.9200000000000004"/>
    <n v="3.9200000000000004"/>
  </r>
  <r>
    <x v="27"/>
    <s v="P_P_Roja"/>
    <x v="9"/>
    <n v="19"/>
    <n v="16"/>
    <n v="304"/>
    <x v="2"/>
    <s v="No aplica impuestos"/>
    <x v="1"/>
    <n v="0.1"/>
    <n v="0"/>
    <n v="0"/>
  </r>
  <r>
    <x v="10"/>
    <s v="P_C_Lineas"/>
    <x v="5"/>
    <n v="13"/>
    <n v="11"/>
    <n v="143"/>
    <x v="2"/>
    <s v="No aplica impuestos"/>
    <x v="3"/>
    <n v="0.14000000000000001"/>
    <n v="0"/>
    <n v="0"/>
  </r>
  <r>
    <x v="25"/>
    <s v="P_C_Chico"/>
    <x v="5"/>
    <n v="20"/>
    <n v="14"/>
    <n v="280"/>
    <x v="2"/>
    <s v="Aplica"/>
    <x v="3"/>
    <n v="0.14000000000000001"/>
    <n v="39.200000000000003"/>
    <n v="39.200000000000003"/>
  </r>
  <r>
    <x v="14"/>
    <s v="F_S_C/S"/>
    <x v="7"/>
    <n v="8"/>
    <n v="18"/>
    <n v="144"/>
    <x v="0"/>
    <s v="No aplica impuestos"/>
    <x v="6"/>
    <n v="7.0000000000000007E-2"/>
    <n v="0"/>
    <n v="0"/>
  </r>
  <r>
    <x v="19"/>
    <s v="T_L_A"/>
    <x v="1"/>
    <n v="500"/>
    <n v="9"/>
    <n v="4500"/>
    <x v="1"/>
    <s v="Aplica"/>
    <x v="2"/>
    <n v="0.12"/>
    <n v="540"/>
    <n v="540"/>
  </r>
  <r>
    <x v="19"/>
    <s v="F_M_S/S"/>
    <x v="3"/>
    <n v="5"/>
    <n v="12"/>
    <n v="60"/>
    <x v="0"/>
    <s v="No aplica impuestos"/>
    <x v="2"/>
    <n v="7.0000000000000007E-2"/>
    <n v="0"/>
    <n v="0"/>
  </r>
  <r>
    <x v="24"/>
    <s v="F_N_A"/>
    <x v="4"/>
    <n v="5"/>
    <n v="4"/>
    <n v="20"/>
    <x v="0"/>
    <s v="No aplica impuestos"/>
    <x v="1"/>
    <n v="0.05"/>
    <n v="0"/>
    <n v="0"/>
  </r>
  <r>
    <x v="22"/>
    <s v="F_M_Roja"/>
    <x v="11"/>
    <n v="3"/>
    <n v="6"/>
    <n v="18"/>
    <x v="0"/>
    <s v="No aplica impuestos"/>
    <x v="5"/>
    <n v="0.11"/>
    <n v="0"/>
    <n v="0"/>
  </r>
  <r>
    <x v="22"/>
    <s v="P_C_Grande"/>
    <x v="5"/>
    <n v="14"/>
    <n v="9"/>
    <n v="126"/>
    <x v="2"/>
    <s v="No aplica impuestos"/>
    <x v="5"/>
    <n v="0.04"/>
    <n v="0"/>
    <n v="0"/>
  </r>
  <r>
    <x v="26"/>
    <s v="F_P_P_Azul"/>
    <x v="9"/>
    <n v="11"/>
    <n v="9"/>
    <n v="99"/>
    <x v="0"/>
    <s v="No aplica impuestos"/>
    <x v="7"/>
    <n v="0.11"/>
    <n v="0"/>
    <n v="0"/>
  </r>
  <r>
    <x v="11"/>
    <s v="P_C_Grande"/>
    <x v="5"/>
    <n v="14"/>
    <n v="3"/>
    <n v="42"/>
    <x v="2"/>
    <s v="Aplica"/>
    <x v="6"/>
    <n v="7.0000000000000007E-2"/>
    <n v="2.9400000000000004"/>
    <n v="2.9400000000000004"/>
  </r>
  <r>
    <x v="2"/>
    <s v="F_Li_A"/>
    <x v="0"/>
    <n v="8"/>
    <n v="19"/>
    <n v="152"/>
    <x v="0"/>
    <s v="No aplica impuestos"/>
    <x v="1"/>
    <n v="0.05"/>
    <n v="0"/>
    <n v="0"/>
  </r>
  <r>
    <x v="21"/>
    <s v="F_P_Roja"/>
    <x v="10"/>
    <n v="5"/>
    <n v="3"/>
    <n v="15"/>
    <x v="0"/>
    <s v="No aplica impuestos"/>
    <x v="0"/>
    <n v="7.0000000000000007E-2"/>
    <n v="0"/>
    <n v="0"/>
  </r>
  <r>
    <x v="27"/>
    <s v="F_P_P_Azul"/>
    <x v="9"/>
    <n v="11"/>
    <n v="8"/>
    <n v="88"/>
    <x v="0"/>
    <s v="Aplica"/>
    <x v="1"/>
    <n v="0.05"/>
    <n v="4.4000000000000004"/>
    <n v="4.4000000000000004"/>
  </r>
  <r>
    <x v="26"/>
    <s v="P_C_Lineas"/>
    <x v="5"/>
    <n v="13"/>
    <n v="2"/>
    <n v="26"/>
    <x v="2"/>
    <s v="Aplica"/>
    <x v="7"/>
    <n v="0.13"/>
    <n v="3.38"/>
    <n v="3.38"/>
  </r>
  <r>
    <x v="8"/>
    <s v="F_S_C/S"/>
    <x v="7"/>
    <n v="8"/>
    <n v="17"/>
    <n v="136"/>
    <x v="0"/>
    <s v="No aplica impuestos"/>
    <x v="2"/>
    <n v="7.0000000000000007E-2"/>
    <n v="0"/>
    <n v="0"/>
  </r>
  <r>
    <x v="16"/>
    <s v="F_P_Cafe"/>
    <x v="10"/>
    <n v="9"/>
    <n v="11"/>
    <n v="99"/>
    <x v="0"/>
    <s v="Aplica"/>
    <x v="5"/>
    <n v="0.11"/>
    <n v="10.89"/>
    <n v="10.89"/>
  </r>
  <r>
    <x v="1"/>
    <s v="P_C_Grande"/>
    <x v="5"/>
    <n v="14"/>
    <n v="7"/>
    <n v="98"/>
    <x v="2"/>
    <s v="No aplica impuestos"/>
    <x v="1"/>
    <n v="0.1"/>
    <n v="0"/>
    <n v="0"/>
  </r>
  <r>
    <x v="18"/>
    <s v="T_L_A"/>
    <x v="1"/>
    <n v="500"/>
    <n v="3"/>
    <n v="1500"/>
    <x v="1"/>
    <s v="Aplica"/>
    <x v="5"/>
    <n v="0.14000000000000001"/>
    <n v="210.00000000000003"/>
    <n v="210.00000000000003"/>
  </r>
  <r>
    <x v="18"/>
    <s v="F_Li_A"/>
    <x v="0"/>
    <n v="8"/>
    <n v="5"/>
    <n v="40"/>
    <x v="0"/>
    <s v="Aplica"/>
    <x v="5"/>
    <n v="0.11"/>
    <n v="4.4000000000000004"/>
    <n v="4.4000000000000004"/>
  </r>
  <r>
    <x v="0"/>
    <s v="F_M_S/S"/>
    <x v="3"/>
    <n v="5"/>
    <n v="16"/>
    <n v="80"/>
    <x v="0"/>
    <s v="Aplica"/>
    <x v="0"/>
    <n v="7.0000000000000007E-2"/>
    <n v="5.6000000000000005"/>
    <n v="5.6000000000000005"/>
  </r>
  <r>
    <x v="9"/>
    <s v="F_T_A"/>
    <x v="8"/>
    <n v="7"/>
    <n v="2"/>
    <n v="14"/>
    <x v="0"/>
    <s v="Aplica"/>
    <x v="5"/>
    <n v="0.11"/>
    <n v="1.54"/>
    <n v="1.54"/>
  </r>
  <r>
    <x v="7"/>
    <s v="F_M_Roja"/>
    <x v="11"/>
    <n v="3"/>
    <n v="11"/>
    <n v="33"/>
    <x v="0"/>
    <s v="Aplica"/>
    <x v="0"/>
    <n v="7.0000000000000007E-2"/>
    <n v="2.31"/>
    <n v="2.31"/>
  </r>
  <r>
    <x v="27"/>
    <s v="F_M_Verde"/>
    <x v="11"/>
    <n v="4"/>
    <n v="14"/>
    <n v="56"/>
    <x v="0"/>
    <s v="No aplica impuestos"/>
    <x v="1"/>
    <n v="0.05"/>
    <n v="0"/>
    <n v="0"/>
  </r>
  <r>
    <x v="15"/>
    <s v="P_P_Negra"/>
    <x v="9"/>
    <n v="19"/>
    <n v="6"/>
    <n v="114"/>
    <x v="2"/>
    <s v="No aplica impuestos"/>
    <x v="6"/>
    <n v="7.0000000000000007E-2"/>
    <n v="0"/>
    <n v="0"/>
  </r>
  <r>
    <x v="6"/>
    <s v="F_T_A"/>
    <x v="8"/>
    <n v="7"/>
    <n v="5"/>
    <n v="35"/>
    <x v="0"/>
    <s v="Aplica"/>
    <x v="2"/>
    <n v="7.0000000000000007E-2"/>
    <n v="2.4500000000000002"/>
    <n v="2.4500000000000002"/>
  </r>
  <r>
    <x v="10"/>
    <s v="F_S_S/S"/>
    <x v="7"/>
    <n v="10"/>
    <n v="9"/>
    <n v="90"/>
    <x v="0"/>
    <s v="Aplica"/>
    <x v="3"/>
    <n v="0.08"/>
    <n v="7.2"/>
    <n v="7.2"/>
  </r>
  <r>
    <x v="0"/>
    <s v="P_P_Roja"/>
    <x v="9"/>
    <n v="19"/>
    <n v="6"/>
    <n v="114"/>
    <x v="2"/>
    <s v="No aplica impuestos"/>
    <x v="0"/>
    <n v="0.1"/>
    <n v="0"/>
    <n v="0"/>
  </r>
  <r>
    <x v="18"/>
    <s v="T_L_A"/>
    <x v="1"/>
    <n v="500"/>
    <n v="1"/>
    <n v="500"/>
    <x v="1"/>
    <s v="No aplica impuestos"/>
    <x v="5"/>
    <n v="0.14000000000000001"/>
    <n v="0"/>
    <n v="0"/>
  </r>
  <r>
    <x v="17"/>
    <s v="P_C_Chico"/>
    <x v="5"/>
    <n v="20"/>
    <n v="19"/>
    <n v="380"/>
    <x v="2"/>
    <s v="Aplica"/>
    <x v="1"/>
    <n v="0.1"/>
    <n v="38"/>
    <n v="38"/>
  </r>
  <r>
    <x v="19"/>
    <s v="F_T_A"/>
    <x v="8"/>
    <n v="7"/>
    <n v="4"/>
    <n v="28"/>
    <x v="0"/>
    <s v="No aplica impuestos"/>
    <x v="2"/>
    <n v="7.0000000000000007E-2"/>
    <n v="0"/>
    <n v="0"/>
  </r>
  <r>
    <x v="23"/>
    <s v="F_M_Amarilla"/>
    <x v="11"/>
    <n v="9"/>
    <n v="15"/>
    <n v="135"/>
    <x v="0"/>
    <s v="No aplica impuestos"/>
    <x v="0"/>
    <n v="7.0000000000000007E-2"/>
    <n v="0"/>
    <n v="0"/>
  </r>
  <r>
    <x v="10"/>
    <s v="P_P_Negra"/>
    <x v="9"/>
    <n v="19"/>
    <n v="12"/>
    <n v="228"/>
    <x v="2"/>
    <s v="Aplica"/>
    <x v="3"/>
    <n v="0.14000000000000001"/>
    <n v="31.92"/>
    <n v="31.92"/>
  </r>
  <r>
    <x v="27"/>
    <s v="P_C_Chico"/>
    <x v="5"/>
    <n v="20"/>
    <n v="17"/>
    <n v="340"/>
    <x v="2"/>
    <s v="Aplica"/>
    <x v="1"/>
    <n v="0.1"/>
    <n v="34"/>
    <n v="34"/>
  </r>
  <r>
    <x v="21"/>
    <s v="P_C_Grande"/>
    <x v="5"/>
    <n v="14"/>
    <n v="4"/>
    <n v="56"/>
    <x v="2"/>
    <s v="Aplica"/>
    <x v="0"/>
    <n v="0.1"/>
    <n v="5.6000000000000005"/>
    <n v="5.6000000000000005"/>
  </r>
  <r>
    <x v="9"/>
    <s v="F_M_Roja"/>
    <x v="11"/>
    <n v="3"/>
    <n v="1"/>
    <n v="3"/>
    <x v="0"/>
    <s v="No aplica impuestos"/>
    <x v="5"/>
    <n v="0.11"/>
    <n v="0"/>
    <n v="0"/>
  </r>
  <r>
    <x v="3"/>
    <s v="F_T_A"/>
    <x v="8"/>
    <n v="7"/>
    <n v="1"/>
    <n v="7"/>
    <x v="0"/>
    <s v="Aplica"/>
    <x v="2"/>
    <n v="7.0000000000000007E-2"/>
    <n v="0.49000000000000005"/>
    <n v="0.49000000000000005"/>
  </r>
  <r>
    <x v="14"/>
    <s v="F_T_A"/>
    <x v="8"/>
    <n v="7"/>
    <n v="17"/>
    <n v="119"/>
    <x v="0"/>
    <s v="Aplica"/>
    <x v="6"/>
    <n v="7.0000000000000007E-2"/>
    <n v="8.33"/>
    <n v="8.33"/>
  </r>
  <r>
    <x v="12"/>
    <s v="F_Li_A"/>
    <x v="0"/>
    <n v="8"/>
    <n v="18"/>
    <n v="144"/>
    <x v="0"/>
    <s v="Aplica"/>
    <x v="2"/>
    <n v="7.0000000000000007E-2"/>
    <n v="10.080000000000002"/>
    <n v="10.080000000000002"/>
  </r>
  <r>
    <x v="26"/>
    <s v="F_P_Verde"/>
    <x v="10"/>
    <n v="1"/>
    <n v="12"/>
    <n v="12"/>
    <x v="0"/>
    <s v="No aplica impuestos"/>
    <x v="7"/>
    <n v="0.11"/>
    <n v="0"/>
    <n v="0"/>
  </r>
  <r>
    <x v="6"/>
    <s v="T_L_A"/>
    <x v="1"/>
    <n v="500"/>
    <n v="1"/>
    <n v="500"/>
    <x v="1"/>
    <s v="No aplica impuestos"/>
    <x v="2"/>
    <n v="0.12"/>
    <n v="0"/>
    <n v="0"/>
  </r>
  <r>
    <x v="14"/>
    <s v="P_P_Negra"/>
    <x v="9"/>
    <n v="19"/>
    <n v="7"/>
    <n v="133"/>
    <x v="2"/>
    <s v="No aplica impuestos"/>
    <x v="6"/>
    <n v="7.0000000000000007E-2"/>
    <n v="0"/>
    <n v="0"/>
  </r>
  <r>
    <x v="12"/>
    <s v="F_M_Amarilla"/>
    <x v="11"/>
    <n v="9"/>
    <n v="19"/>
    <n v="171"/>
    <x v="0"/>
    <s v="Aplica"/>
    <x v="2"/>
    <n v="7.0000000000000007E-2"/>
    <n v="11.97"/>
    <n v="11.97"/>
  </r>
  <r>
    <x v="13"/>
    <s v="F_T_A"/>
    <x v="8"/>
    <n v="7"/>
    <n v="5"/>
    <n v="35"/>
    <x v="0"/>
    <s v="Aplica"/>
    <x v="6"/>
    <n v="7.0000000000000007E-2"/>
    <n v="2.4500000000000002"/>
    <n v="2.4500000000000002"/>
  </r>
  <r>
    <x v="17"/>
    <s v="F_S_C/S"/>
    <x v="7"/>
    <n v="8"/>
    <n v="3"/>
    <n v="24"/>
    <x v="0"/>
    <s v="Aplica"/>
    <x v="1"/>
    <n v="0.05"/>
    <n v="1.2000000000000002"/>
    <n v="1.2000000000000002"/>
  </r>
  <r>
    <x v="1"/>
    <s v="F_P_A"/>
    <x v="6"/>
    <n v="7"/>
    <n v="1"/>
    <n v="7"/>
    <x v="0"/>
    <s v="Aplica"/>
    <x v="1"/>
    <n v="0.05"/>
    <n v="0.35000000000000003"/>
    <n v="0.35000000000000003"/>
  </r>
  <r>
    <x v="12"/>
    <s v="F_P_P_Azul"/>
    <x v="9"/>
    <n v="11"/>
    <n v="12"/>
    <n v="132"/>
    <x v="0"/>
    <s v="Aplica"/>
    <x v="2"/>
    <n v="7.0000000000000007E-2"/>
    <n v="9.24"/>
    <n v="9.24"/>
  </r>
  <r>
    <x v="2"/>
    <s v="F_M_Roja"/>
    <x v="11"/>
    <n v="3"/>
    <n v="13"/>
    <n v="39"/>
    <x v="0"/>
    <s v="Aplica"/>
    <x v="1"/>
    <n v="0.05"/>
    <n v="1.9500000000000002"/>
    <n v="1.9500000000000002"/>
  </r>
  <r>
    <x v="22"/>
    <s v="F_L_A"/>
    <x v="2"/>
    <n v="1"/>
    <n v="1"/>
    <n v="1"/>
    <x v="0"/>
    <s v="No aplica impuestos"/>
    <x v="5"/>
    <n v="0.11"/>
    <n v="0"/>
    <n v="0"/>
  </r>
  <r>
    <x v="22"/>
    <s v="F_S_S/S"/>
    <x v="7"/>
    <n v="10"/>
    <n v="7"/>
    <n v="70"/>
    <x v="0"/>
    <s v="Aplica"/>
    <x v="5"/>
    <n v="0.11"/>
    <n v="7.7"/>
    <n v="7.7"/>
  </r>
  <r>
    <x v="24"/>
    <s v="P_C_Grande"/>
    <x v="5"/>
    <n v="14"/>
    <n v="5"/>
    <n v="70"/>
    <x v="2"/>
    <s v="Aplica"/>
    <x v="1"/>
    <n v="0.1"/>
    <n v="7"/>
    <n v="7"/>
  </r>
  <r>
    <x v="11"/>
    <s v="F_M_Verde"/>
    <x v="11"/>
    <n v="4"/>
    <n v="20"/>
    <n v="80"/>
    <x v="0"/>
    <s v="No aplica impuestos"/>
    <x v="6"/>
    <n v="7.0000000000000007E-2"/>
    <n v="0"/>
    <n v="0"/>
  </r>
  <r>
    <x v="18"/>
    <s v="P_C_Grande"/>
    <x v="5"/>
    <n v="14"/>
    <n v="5"/>
    <n v="70"/>
    <x v="2"/>
    <s v="Aplica"/>
    <x v="5"/>
    <n v="0.04"/>
    <n v="2.8000000000000003"/>
    <n v="2.8000000000000003"/>
  </r>
  <r>
    <x v="22"/>
    <s v="T_L_A"/>
    <x v="1"/>
    <n v="500"/>
    <n v="4"/>
    <n v="2000"/>
    <x v="1"/>
    <s v="Aplica"/>
    <x v="5"/>
    <n v="0.14000000000000001"/>
    <n v="280"/>
    <n v="280"/>
  </r>
  <r>
    <x v="26"/>
    <s v="F_P_Verde"/>
    <x v="10"/>
    <n v="1"/>
    <n v="9"/>
    <n v="9"/>
    <x v="0"/>
    <s v="No aplica impuestos"/>
    <x v="7"/>
    <n v="0.11"/>
    <n v="0"/>
    <n v="0"/>
  </r>
  <r>
    <x v="16"/>
    <s v="S_W_A"/>
    <x v="12"/>
    <n v="300"/>
    <n v="1"/>
    <n v="300"/>
    <x v="3"/>
    <s v="Aplica"/>
    <x v="5"/>
    <n v="0.11"/>
    <n v="33"/>
    <n v="33"/>
  </r>
  <r>
    <x v="1"/>
    <s v="S_L_A"/>
    <x v="13"/>
    <n v="150"/>
    <n v="1"/>
    <n v="150"/>
    <x v="3"/>
    <s v="Aplica"/>
    <x v="1"/>
    <n v="0.08"/>
    <n v="12"/>
    <n v="12"/>
  </r>
  <r>
    <x v="18"/>
    <s v="S_N_A"/>
    <x v="14"/>
    <n v="300"/>
    <n v="1"/>
    <n v="300"/>
    <x v="3"/>
    <s v="No aplica impuestos"/>
    <x v="5"/>
    <n v="0.11"/>
    <n v="0"/>
    <n v="0"/>
  </r>
  <r>
    <x v="18"/>
    <s v="S_A_A"/>
    <x v="15"/>
    <n v="99"/>
    <n v="1"/>
    <n v="99"/>
    <x v="3"/>
    <s v="No aplica impuestos"/>
    <x v="5"/>
    <n v="0.11"/>
    <n v="0"/>
    <n v="0"/>
  </r>
  <r>
    <x v="9"/>
    <s v="S_N_A"/>
    <x v="14"/>
    <n v="300"/>
    <n v="1"/>
    <n v="300"/>
    <x v="3"/>
    <s v="No aplica impuestos"/>
    <x v="5"/>
    <n v="0.11"/>
    <n v="0"/>
    <n v="0"/>
  </r>
  <r>
    <x v="7"/>
    <s v="S_N_A"/>
    <x v="14"/>
    <n v="300"/>
    <n v="1"/>
    <n v="300"/>
    <x v="3"/>
    <s v="No aplica impuestos"/>
    <x v="0"/>
    <n v="7.0000000000000007E-2"/>
    <n v="0"/>
    <n v="0"/>
  </r>
  <r>
    <x v="27"/>
    <s v="S_W_A"/>
    <x v="12"/>
    <n v="300"/>
    <n v="1"/>
    <n v="300"/>
    <x v="3"/>
    <s v="Aplica"/>
    <x v="1"/>
    <n v="0.08"/>
    <n v="24"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C60A4D-97DF-4272-819E-AE8699042A29}" name="TablaDinámica16" cacheId="4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2:F12" firstHeaderRow="1" firstDataRow="2" firstDataCol="1"/>
  <pivotFields count="12">
    <pivotField showAll="0"/>
    <pivotField showAll="0"/>
    <pivotField showAll="0">
      <items count="17">
        <item x="15"/>
        <item x="5"/>
        <item x="1"/>
        <item x="0"/>
        <item x="2"/>
        <item x="13"/>
        <item x="11"/>
        <item x="3"/>
        <item x="4"/>
        <item x="14"/>
        <item x="10"/>
        <item x="6"/>
        <item x="9"/>
        <item x="7"/>
        <item x="8"/>
        <item x="12"/>
        <item t="default"/>
      </items>
    </pivotField>
    <pivotField showAll="0"/>
    <pivotField showAll="0"/>
    <pivotField showAll="0"/>
    <pivotField axis="axisCol" showAll="0">
      <items count="5">
        <item x="0"/>
        <item x="2"/>
        <item x="3"/>
        <item x="1"/>
        <item t="default"/>
      </items>
    </pivotField>
    <pivotField showAll="0"/>
    <pivotField axis="axisRow" showAll="0">
      <items count="9">
        <item x="4"/>
        <item x="2"/>
        <item x="3"/>
        <item x="1"/>
        <item x="5"/>
        <item x="0"/>
        <item x="6"/>
        <item x="7"/>
        <item t="default"/>
      </items>
    </pivotField>
    <pivotField showAll="0"/>
    <pivotField dataField="1" showAll="0"/>
    <pivotField showAll="0"/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Promedio de Impuesto a pagar" fld="10" subtotal="average" baseField="0" baseItem="0" numFmtId="43"/>
  </dataFields>
  <formats count="6">
    <format dxfId="0">
      <pivotArea outline="0" collapsedLevelsAreSubtotals="1" fieldPosition="0">
        <references count="1">
          <reference field="6" count="2" selected="0">
            <x v="0"/>
            <x v="1"/>
          </reference>
        </references>
      </pivotArea>
    </format>
    <format dxfId="1">
      <pivotArea outline="0" collapsedLevelsAreSubtotals="1" fieldPosition="0"/>
    </format>
    <format dxfId="2">
      <pivotArea collapsedLevelsAreSubtotals="1" fieldPosition="0">
        <references count="1">
          <reference field="8" count="1">
            <x v="4"/>
          </reference>
        </references>
      </pivotArea>
    </format>
    <format dxfId="3">
      <pivotArea dataOnly="0" labelOnly="1" fieldPosition="0">
        <references count="1">
          <reference field="8" count="1">
            <x v="4"/>
          </reference>
        </references>
      </pivotArea>
    </format>
    <format dxfId="4">
      <pivotArea outline="0" collapsedLevelsAreSubtotals="1" fieldPosition="0">
        <references count="1">
          <reference field="6" count="1" selected="0">
            <x v="3"/>
          </reference>
        </references>
      </pivotArea>
    </format>
    <format dxfId="5">
      <pivotArea dataOnly="0" labelOnly="1" fieldPosition="0">
        <references count="1">
          <reference field="6" count="1">
            <x v="3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BD962-686F-4F8A-9E00-4D74942EE0FA}">
  <dimension ref="A1:Q22"/>
  <sheetViews>
    <sheetView workbookViewId="0">
      <selection activeCell="F5" sqref="F5"/>
    </sheetView>
  </sheetViews>
  <sheetFormatPr baseColWidth="10" defaultRowHeight="14.5" x14ac:dyDescent="0.35"/>
  <cols>
    <col min="12" max="12" width="9.90625" bestFit="1" customWidth="1"/>
    <col min="13" max="13" width="12.81640625" bestFit="1" customWidth="1"/>
    <col min="14" max="14" width="7.54296875" bestFit="1" customWidth="1"/>
    <col min="16" max="16" width="12.81640625" bestFit="1" customWidth="1"/>
    <col min="17" max="17" width="7.54296875" bestFit="1" customWidth="1"/>
  </cols>
  <sheetData>
    <row r="1" spans="1:17" ht="74" customHeight="1" x14ac:dyDescent="0.35">
      <c r="A1" s="30" t="s">
        <v>54</v>
      </c>
      <c r="B1" s="30"/>
      <c r="D1" s="32" t="s">
        <v>55</v>
      </c>
      <c r="E1" s="32"/>
      <c r="F1" s="32"/>
      <c r="G1" s="32"/>
      <c r="L1" s="32" t="s">
        <v>56</v>
      </c>
      <c r="M1" s="32"/>
      <c r="N1" s="32"/>
    </row>
    <row r="2" spans="1:17" ht="15" thickBot="1" x14ac:dyDescent="0.4">
      <c r="A2" s="8" t="s">
        <v>0</v>
      </c>
      <c r="B2" s="8" t="s">
        <v>1</v>
      </c>
      <c r="D2" s="7" t="s">
        <v>0</v>
      </c>
      <c r="E2" s="7" t="s">
        <v>2</v>
      </c>
      <c r="F2" s="7" t="s">
        <v>3</v>
      </c>
      <c r="G2" s="7" t="s">
        <v>4</v>
      </c>
      <c r="I2" s="9" t="s">
        <v>1</v>
      </c>
      <c r="J2" s="9" t="s">
        <v>5</v>
      </c>
      <c r="L2" s="6" t="s">
        <v>0</v>
      </c>
      <c r="M2" s="6" t="s">
        <v>6</v>
      </c>
      <c r="N2" s="6" t="s">
        <v>7</v>
      </c>
      <c r="P2" s="6" t="s">
        <v>6</v>
      </c>
      <c r="Q2" s="6" t="s">
        <v>7</v>
      </c>
    </row>
    <row r="3" spans="1:17" x14ac:dyDescent="0.35">
      <c r="A3" s="1" t="s">
        <v>8</v>
      </c>
      <c r="B3" s="2" t="s">
        <v>9</v>
      </c>
      <c r="D3" s="1" t="s">
        <v>10</v>
      </c>
      <c r="E3" s="1">
        <v>300</v>
      </c>
      <c r="F3" s="22"/>
      <c r="G3" s="1" t="s">
        <v>11</v>
      </c>
      <c r="H3" s="3"/>
      <c r="I3" s="2" t="s">
        <v>12</v>
      </c>
      <c r="J3" s="1" t="s">
        <v>13</v>
      </c>
      <c r="L3" s="1" t="s">
        <v>8</v>
      </c>
      <c r="M3" s="2" t="s">
        <v>14</v>
      </c>
      <c r="N3" s="11"/>
      <c r="P3" s="2" t="s">
        <v>14</v>
      </c>
      <c r="Q3" s="4">
        <v>100000</v>
      </c>
    </row>
    <row r="4" spans="1:17" x14ac:dyDescent="0.35">
      <c r="A4" s="1" t="s">
        <v>15</v>
      </c>
      <c r="B4" s="2" t="s">
        <v>16</v>
      </c>
      <c r="D4" s="1" t="s">
        <v>17</v>
      </c>
      <c r="E4" s="1">
        <v>900</v>
      </c>
      <c r="F4" s="23"/>
      <c r="G4" s="1" t="s">
        <v>11</v>
      </c>
      <c r="H4" s="3"/>
      <c r="I4" s="2" t="s">
        <v>18</v>
      </c>
      <c r="J4" s="1" t="s">
        <v>19</v>
      </c>
      <c r="L4" s="1" t="s">
        <v>15</v>
      </c>
      <c r="M4" s="2" t="s">
        <v>20</v>
      </c>
      <c r="N4" s="12"/>
      <c r="P4" s="2" t="s">
        <v>20</v>
      </c>
      <c r="Q4" s="4">
        <v>50000</v>
      </c>
    </row>
    <row r="5" spans="1:17" x14ac:dyDescent="0.35">
      <c r="A5" s="1" t="s">
        <v>10</v>
      </c>
      <c r="B5" s="2" t="s">
        <v>21</v>
      </c>
      <c r="D5" s="1" t="s">
        <v>22</v>
      </c>
      <c r="E5" s="1">
        <v>600</v>
      </c>
      <c r="F5" s="23"/>
      <c r="G5" s="1" t="s">
        <v>23</v>
      </c>
      <c r="H5" s="3"/>
      <c r="I5" s="2" t="s">
        <v>24</v>
      </c>
      <c r="J5" s="1" t="s">
        <v>13</v>
      </c>
      <c r="L5" s="1" t="s">
        <v>10</v>
      </c>
      <c r="M5" s="2" t="s">
        <v>25</v>
      </c>
      <c r="N5" s="12"/>
      <c r="P5" s="2" t="s">
        <v>25</v>
      </c>
      <c r="Q5" s="4">
        <v>75000</v>
      </c>
    </row>
    <row r="6" spans="1:17" x14ac:dyDescent="0.35">
      <c r="A6" s="1" t="s">
        <v>26</v>
      </c>
      <c r="B6" s="2" t="s">
        <v>24</v>
      </c>
      <c r="D6" s="1" t="s">
        <v>26</v>
      </c>
      <c r="E6" s="1">
        <v>500</v>
      </c>
      <c r="F6" s="23"/>
      <c r="G6" s="1" t="s">
        <v>27</v>
      </c>
      <c r="H6" s="3"/>
      <c r="I6" s="2" t="s">
        <v>28</v>
      </c>
      <c r="J6" s="1" t="s">
        <v>19</v>
      </c>
      <c r="L6" s="1" t="s">
        <v>26</v>
      </c>
      <c r="M6" s="2" t="s">
        <v>29</v>
      </c>
      <c r="N6" s="12"/>
      <c r="P6" s="2" t="s">
        <v>29</v>
      </c>
      <c r="Q6" s="4">
        <v>20000</v>
      </c>
    </row>
    <row r="7" spans="1:17" x14ac:dyDescent="0.35">
      <c r="A7" s="1" t="s">
        <v>30</v>
      </c>
      <c r="B7" s="2" t="s">
        <v>31</v>
      </c>
      <c r="D7" s="1" t="s">
        <v>32</v>
      </c>
      <c r="E7" s="1">
        <v>500</v>
      </c>
      <c r="F7" s="23"/>
      <c r="G7" s="1" t="s">
        <v>27</v>
      </c>
      <c r="H7" s="3"/>
      <c r="I7" s="2" t="s">
        <v>33</v>
      </c>
      <c r="J7" s="1" t="s">
        <v>19</v>
      </c>
      <c r="L7" s="1" t="s">
        <v>30</v>
      </c>
      <c r="M7" s="2" t="s">
        <v>14</v>
      </c>
      <c r="N7" s="12"/>
    </row>
    <row r="8" spans="1:17" x14ac:dyDescent="0.35">
      <c r="A8" s="1" t="s">
        <v>34</v>
      </c>
      <c r="B8" s="2" t="s">
        <v>35</v>
      </c>
      <c r="D8" s="1" t="s">
        <v>30</v>
      </c>
      <c r="E8" s="1">
        <v>600</v>
      </c>
      <c r="F8" s="23"/>
      <c r="G8" s="1" t="s">
        <v>36</v>
      </c>
      <c r="H8" s="3"/>
      <c r="I8" s="2" t="s">
        <v>37</v>
      </c>
      <c r="J8" s="1" t="s">
        <v>19</v>
      </c>
      <c r="L8" s="1" t="s">
        <v>34</v>
      </c>
      <c r="M8" s="2" t="s">
        <v>20</v>
      </c>
      <c r="N8" s="12"/>
    </row>
    <row r="9" spans="1:17" x14ac:dyDescent="0.35">
      <c r="A9" s="1" t="s">
        <v>38</v>
      </c>
      <c r="B9" s="2" t="s">
        <v>12</v>
      </c>
      <c r="D9" s="1" t="s">
        <v>39</v>
      </c>
      <c r="E9" s="1">
        <v>1000</v>
      </c>
      <c r="F9" s="23"/>
      <c r="G9" s="1" t="s">
        <v>36</v>
      </c>
      <c r="H9" s="3"/>
      <c r="I9" s="2" t="s">
        <v>16</v>
      </c>
      <c r="J9" s="1" t="s">
        <v>13</v>
      </c>
      <c r="L9" s="1" t="s">
        <v>38</v>
      </c>
      <c r="M9" s="2" t="s">
        <v>14</v>
      </c>
      <c r="N9" s="12"/>
      <c r="P9" s="7" t="s">
        <v>40</v>
      </c>
      <c r="Q9" s="7" t="s">
        <v>3</v>
      </c>
    </row>
    <row r="10" spans="1:17" x14ac:dyDescent="0.35">
      <c r="A10" s="1" t="s">
        <v>39</v>
      </c>
      <c r="B10" s="2" t="s">
        <v>41</v>
      </c>
      <c r="D10" s="1" t="s">
        <v>8</v>
      </c>
      <c r="E10" s="1">
        <v>900</v>
      </c>
      <c r="F10" s="23"/>
      <c r="G10" s="1" t="s">
        <v>42</v>
      </c>
      <c r="H10" s="3"/>
      <c r="I10" s="2" t="s">
        <v>21</v>
      </c>
      <c r="J10" s="1" t="s">
        <v>13</v>
      </c>
      <c r="L10" s="1" t="s">
        <v>39</v>
      </c>
      <c r="M10" s="2" t="s">
        <v>14</v>
      </c>
      <c r="N10" s="12"/>
      <c r="P10" s="2">
        <v>100</v>
      </c>
      <c r="Q10" s="4" t="s">
        <v>43</v>
      </c>
    </row>
    <row r="11" spans="1:17" x14ac:dyDescent="0.35">
      <c r="A11" s="1" t="s">
        <v>44</v>
      </c>
      <c r="B11" s="2" t="s">
        <v>18</v>
      </c>
      <c r="D11" s="1" t="s">
        <v>34</v>
      </c>
      <c r="E11" s="1">
        <v>800</v>
      </c>
      <c r="F11" s="23"/>
      <c r="G11" s="1" t="s">
        <v>42</v>
      </c>
      <c r="H11" s="3"/>
      <c r="I11" s="2" t="s">
        <v>35</v>
      </c>
      <c r="J11" s="1" t="s">
        <v>13</v>
      </c>
      <c r="L11" s="1" t="s">
        <v>44</v>
      </c>
      <c r="M11" s="2" t="s">
        <v>25</v>
      </c>
      <c r="N11" s="12"/>
      <c r="P11" s="2">
        <v>200</v>
      </c>
      <c r="Q11" s="4" t="s">
        <v>43</v>
      </c>
    </row>
    <row r="12" spans="1:17" x14ac:dyDescent="0.35">
      <c r="A12" s="1" t="s">
        <v>17</v>
      </c>
      <c r="B12" s="2" t="s">
        <v>45</v>
      </c>
      <c r="D12" s="1" t="s">
        <v>44</v>
      </c>
      <c r="E12" s="1">
        <v>700</v>
      </c>
      <c r="F12" s="23"/>
      <c r="G12" s="1" t="s">
        <v>42</v>
      </c>
      <c r="H12" s="3"/>
      <c r="I12" s="2" t="s">
        <v>9</v>
      </c>
      <c r="J12" s="1" t="s">
        <v>13</v>
      </c>
      <c r="L12" s="1" t="s">
        <v>17</v>
      </c>
      <c r="M12" s="2" t="s">
        <v>29</v>
      </c>
      <c r="N12" s="12"/>
      <c r="P12" s="2">
        <v>300</v>
      </c>
      <c r="Q12" s="4" t="s">
        <v>43</v>
      </c>
    </row>
    <row r="13" spans="1:17" x14ac:dyDescent="0.35">
      <c r="A13" s="1" t="s">
        <v>46</v>
      </c>
      <c r="B13" s="2" t="s">
        <v>47</v>
      </c>
      <c r="D13" s="1" t="s">
        <v>48</v>
      </c>
      <c r="E13" s="1">
        <v>100</v>
      </c>
      <c r="F13" s="23"/>
      <c r="G13" s="1" t="s">
        <v>42</v>
      </c>
      <c r="H13" s="3"/>
      <c r="I13" s="2" t="s">
        <v>45</v>
      </c>
      <c r="J13" s="1" t="s">
        <v>19</v>
      </c>
      <c r="L13" s="1" t="s">
        <v>46</v>
      </c>
      <c r="M13" s="2" t="s">
        <v>29</v>
      </c>
      <c r="N13" s="12"/>
      <c r="P13" s="2">
        <v>400</v>
      </c>
      <c r="Q13" s="4" t="s">
        <v>49</v>
      </c>
    </row>
    <row r="14" spans="1:17" x14ac:dyDescent="0.35">
      <c r="A14" s="1" t="s">
        <v>22</v>
      </c>
      <c r="B14" s="2" t="s">
        <v>33</v>
      </c>
      <c r="D14" s="1" t="s">
        <v>15</v>
      </c>
      <c r="E14" s="1">
        <v>100</v>
      </c>
      <c r="F14" s="23"/>
      <c r="G14" s="1" t="s">
        <v>50</v>
      </c>
      <c r="H14" s="3"/>
      <c r="I14" s="2" t="s">
        <v>41</v>
      </c>
      <c r="J14" s="1" t="s">
        <v>13</v>
      </c>
      <c r="L14" s="1" t="s">
        <v>22</v>
      </c>
      <c r="M14" s="2" t="s">
        <v>25</v>
      </c>
      <c r="N14" s="12"/>
      <c r="P14" s="2">
        <v>500</v>
      </c>
      <c r="Q14" s="4" t="s">
        <v>49</v>
      </c>
    </row>
    <row r="15" spans="1:17" x14ac:dyDescent="0.35">
      <c r="A15" s="1" t="s">
        <v>48</v>
      </c>
      <c r="B15" s="2" t="s">
        <v>37</v>
      </c>
      <c r="D15" s="1" t="s">
        <v>38</v>
      </c>
      <c r="E15" s="1">
        <v>800</v>
      </c>
      <c r="F15" s="23"/>
      <c r="G15" s="1" t="s">
        <v>50</v>
      </c>
      <c r="H15" s="3"/>
      <c r="I15" s="2" t="s">
        <v>47</v>
      </c>
      <c r="J15" s="1" t="s">
        <v>19</v>
      </c>
      <c r="L15" s="1" t="s">
        <v>48</v>
      </c>
      <c r="M15" s="2" t="s">
        <v>20</v>
      </c>
      <c r="N15" s="12"/>
      <c r="P15" s="2">
        <v>600</v>
      </c>
      <c r="Q15" s="4" t="s">
        <v>49</v>
      </c>
    </row>
    <row r="16" spans="1:17" x14ac:dyDescent="0.35">
      <c r="A16" s="1" t="s">
        <v>32</v>
      </c>
      <c r="B16" s="2" t="s">
        <v>51</v>
      </c>
      <c r="D16" s="1" t="s">
        <v>46</v>
      </c>
      <c r="E16" s="1">
        <v>700</v>
      </c>
      <c r="F16" s="23"/>
      <c r="G16" s="1" t="s">
        <v>50</v>
      </c>
      <c r="H16" s="3"/>
      <c r="I16" s="2" t="s">
        <v>51</v>
      </c>
      <c r="J16" s="1" t="s">
        <v>19</v>
      </c>
      <c r="L16" s="1" t="s">
        <v>32</v>
      </c>
      <c r="M16" s="2" t="s">
        <v>20</v>
      </c>
      <c r="N16" s="12"/>
      <c r="P16" s="2">
        <v>700</v>
      </c>
      <c r="Q16" s="4" t="s">
        <v>49</v>
      </c>
    </row>
    <row r="17" spans="1:17" ht="15" thickBot="1" x14ac:dyDescent="0.4">
      <c r="A17" s="1" t="s">
        <v>52</v>
      </c>
      <c r="B17" s="2" t="s">
        <v>28</v>
      </c>
      <c r="D17" s="1" t="s">
        <v>52</v>
      </c>
      <c r="E17" s="1">
        <v>700</v>
      </c>
      <c r="F17" s="24"/>
      <c r="G17" s="1" t="s">
        <v>50</v>
      </c>
      <c r="H17" s="3"/>
      <c r="I17" s="2" t="s">
        <v>31</v>
      </c>
      <c r="J17" s="1" t="s">
        <v>13</v>
      </c>
      <c r="L17" s="1" t="s">
        <v>52</v>
      </c>
      <c r="M17" s="2" t="s">
        <v>14</v>
      </c>
      <c r="N17" s="13"/>
      <c r="P17" s="2">
        <v>800</v>
      </c>
      <c r="Q17" s="4" t="s">
        <v>53</v>
      </c>
    </row>
    <row r="18" spans="1:17" x14ac:dyDescent="0.35">
      <c r="C18" s="20" t="s">
        <v>57</v>
      </c>
      <c r="D18" s="20"/>
      <c r="E18" s="20"/>
      <c r="F18" s="20"/>
      <c r="G18" s="20"/>
      <c r="H18" s="20"/>
      <c r="I18" s="20"/>
      <c r="P18" s="2">
        <v>900</v>
      </c>
      <c r="Q18" s="4" t="s">
        <v>53</v>
      </c>
    </row>
    <row r="19" spans="1:17" x14ac:dyDescent="0.35">
      <c r="C19" s="20"/>
      <c r="D19" s="20"/>
      <c r="E19" s="20"/>
      <c r="F19" s="20"/>
      <c r="G19" s="20"/>
      <c r="H19" s="20"/>
      <c r="I19" s="20"/>
      <c r="P19" s="2">
        <v>1000</v>
      </c>
      <c r="Q19" s="4" t="s">
        <v>53</v>
      </c>
    </row>
    <row r="20" spans="1:17" ht="15" thickBot="1" x14ac:dyDescent="0.4">
      <c r="C20" s="10" t="s">
        <v>0</v>
      </c>
      <c r="D20" s="8" t="s">
        <v>1</v>
      </c>
      <c r="E20" s="7" t="s">
        <v>40</v>
      </c>
      <c r="F20" s="7" t="s">
        <v>3</v>
      </c>
      <c r="G20" s="7" t="s">
        <v>4</v>
      </c>
      <c r="H20" s="9" t="s">
        <v>5</v>
      </c>
      <c r="I20" s="6" t="s">
        <v>7</v>
      </c>
    </row>
    <row r="21" spans="1:17" x14ac:dyDescent="0.35">
      <c r="C21" s="5" t="s">
        <v>15</v>
      </c>
      <c r="D21" s="14"/>
      <c r="E21" s="15"/>
      <c r="F21" s="15"/>
      <c r="G21" s="15"/>
      <c r="H21" s="15"/>
      <c r="I21" s="16"/>
    </row>
    <row r="22" spans="1:17" ht="15" thickBot="1" x14ac:dyDescent="0.4">
      <c r="C22" s="5" t="s">
        <v>22</v>
      </c>
      <c r="D22" s="17"/>
      <c r="E22" s="18"/>
      <c r="F22" s="18"/>
      <c r="G22" s="18"/>
      <c r="H22" s="18"/>
      <c r="I22" s="19"/>
    </row>
  </sheetData>
  <mergeCells count="4">
    <mergeCell ref="A1:B1"/>
    <mergeCell ref="D1:G1"/>
    <mergeCell ref="L1:N1"/>
    <mergeCell ref="C18:I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693C5-D75A-4EE1-873C-78B71AFB2802}">
  <dimension ref="A1:T188"/>
  <sheetViews>
    <sheetView workbookViewId="0">
      <selection sqref="A1:K1"/>
    </sheetView>
  </sheetViews>
  <sheetFormatPr baseColWidth="10" defaultRowHeight="14.5" x14ac:dyDescent="0.35"/>
  <cols>
    <col min="1" max="1" width="15.54296875" bestFit="1" customWidth="1"/>
    <col min="8" max="8" width="17.26953125" bestFit="1" customWidth="1"/>
    <col min="10" max="10" width="24.7265625" bestFit="1" customWidth="1"/>
    <col min="11" max="11" width="14.6328125" bestFit="1" customWidth="1"/>
  </cols>
  <sheetData>
    <row r="1" spans="1:20" ht="70" customHeight="1" x14ac:dyDescent="0.35">
      <c r="A1" s="30" t="s">
        <v>154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20" ht="15" thickBot="1" x14ac:dyDescent="0.4">
      <c r="A2" s="25" t="s">
        <v>58</v>
      </c>
      <c r="B2" s="25" t="s">
        <v>59</v>
      </c>
      <c r="C2" s="25" t="s">
        <v>1</v>
      </c>
      <c r="D2" s="25" t="s">
        <v>60</v>
      </c>
      <c r="E2" s="25" t="s">
        <v>61</v>
      </c>
      <c r="F2" s="25" t="s">
        <v>62</v>
      </c>
      <c r="G2" s="25" t="s">
        <v>63</v>
      </c>
      <c r="H2" s="25" t="s">
        <v>151</v>
      </c>
      <c r="I2" s="26" t="s">
        <v>148</v>
      </c>
      <c r="J2" s="29" t="s">
        <v>64</v>
      </c>
      <c r="K2" s="29" t="s">
        <v>150</v>
      </c>
      <c r="L2" s="29" t="s">
        <v>155</v>
      </c>
      <c r="Q2" t="s">
        <v>147</v>
      </c>
      <c r="R2" t="s">
        <v>135</v>
      </c>
      <c r="S2" t="s">
        <v>137</v>
      </c>
      <c r="T2" t="s">
        <v>136</v>
      </c>
    </row>
    <row r="3" spans="1:20" x14ac:dyDescent="0.35">
      <c r="A3" t="s">
        <v>65</v>
      </c>
      <c r="B3" t="s">
        <v>66</v>
      </c>
      <c r="C3" t="s">
        <v>67</v>
      </c>
      <c r="D3">
        <v>8</v>
      </c>
      <c r="E3">
        <v>14</v>
      </c>
      <c r="F3">
        <v>112</v>
      </c>
      <c r="G3" t="s">
        <v>135</v>
      </c>
      <c r="H3" t="s">
        <v>153</v>
      </c>
      <c r="I3" s="33"/>
      <c r="J3" s="34"/>
      <c r="K3" s="34"/>
      <c r="L3" s="35"/>
      <c r="N3" s="26" t="s">
        <v>58</v>
      </c>
      <c r="O3" s="26" t="s">
        <v>148</v>
      </c>
      <c r="Q3" t="s">
        <v>148</v>
      </c>
      <c r="R3">
        <v>2</v>
      </c>
      <c r="S3">
        <v>3</v>
      </c>
      <c r="T3">
        <v>4</v>
      </c>
    </row>
    <row r="4" spans="1:20" x14ac:dyDescent="0.35">
      <c r="A4" t="s">
        <v>68</v>
      </c>
      <c r="B4" t="s">
        <v>69</v>
      </c>
      <c r="C4" t="s">
        <v>70</v>
      </c>
      <c r="D4">
        <v>500</v>
      </c>
      <c r="E4">
        <v>4</v>
      </c>
      <c r="F4">
        <v>2000</v>
      </c>
      <c r="G4" t="s">
        <v>136</v>
      </c>
      <c r="H4" t="s">
        <v>152</v>
      </c>
      <c r="I4" s="36"/>
      <c r="J4" s="37"/>
      <c r="K4" s="37"/>
      <c r="L4" s="38"/>
      <c r="N4" t="s">
        <v>98</v>
      </c>
      <c r="O4" t="s">
        <v>143</v>
      </c>
      <c r="Q4" t="s">
        <v>143</v>
      </c>
      <c r="R4" s="27">
        <v>7.0000000000000007E-2</v>
      </c>
      <c r="S4" s="27">
        <v>0.09</v>
      </c>
      <c r="T4" s="27">
        <v>0.12</v>
      </c>
    </row>
    <row r="5" spans="1:20" x14ac:dyDescent="0.35">
      <c r="A5" t="s">
        <v>71</v>
      </c>
      <c r="B5" t="s">
        <v>66</v>
      </c>
      <c r="C5" t="s">
        <v>67</v>
      </c>
      <c r="D5">
        <v>8</v>
      </c>
      <c r="E5">
        <v>10</v>
      </c>
      <c r="F5">
        <v>80</v>
      </c>
      <c r="G5" t="s">
        <v>135</v>
      </c>
      <c r="H5" t="s">
        <v>153</v>
      </c>
      <c r="I5" s="36"/>
      <c r="J5" s="37"/>
      <c r="K5" s="37"/>
      <c r="L5" s="38"/>
      <c r="N5" t="s">
        <v>68</v>
      </c>
      <c r="O5" t="s">
        <v>139</v>
      </c>
      <c r="Q5" t="s">
        <v>139</v>
      </c>
      <c r="R5" s="27">
        <v>0.05</v>
      </c>
      <c r="S5" s="27">
        <v>0.1</v>
      </c>
      <c r="T5" s="27">
        <v>0.13</v>
      </c>
    </row>
    <row r="6" spans="1:20" x14ac:dyDescent="0.35">
      <c r="A6" t="s">
        <v>72</v>
      </c>
      <c r="B6" t="s">
        <v>73</v>
      </c>
      <c r="C6" t="s">
        <v>74</v>
      </c>
      <c r="D6">
        <v>1</v>
      </c>
      <c r="E6">
        <v>20</v>
      </c>
      <c r="F6">
        <v>20</v>
      </c>
      <c r="G6" t="s">
        <v>135</v>
      </c>
      <c r="H6" t="s">
        <v>152</v>
      </c>
      <c r="I6" s="36"/>
      <c r="J6" s="37"/>
      <c r="K6" s="37"/>
      <c r="L6" s="38"/>
      <c r="N6" t="s">
        <v>106</v>
      </c>
      <c r="O6" t="s">
        <v>146</v>
      </c>
      <c r="Q6" t="s">
        <v>146</v>
      </c>
      <c r="R6" s="27">
        <v>7.0000000000000007E-2</v>
      </c>
      <c r="S6" s="27">
        <v>7.0000000000000007E-2</v>
      </c>
      <c r="T6" s="27">
        <v>0.11</v>
      </c>
    </row>
    <row r="7" spans="1:20" x14ac:dyDescent="0.35">
      <c r="A7" t="s">
        <v>68</v>
      </c>
      <c r="B7" t="s">
        <v>75</v>
      </c>
      <c r="C7" t="s">
        <v>76</v>
      </c>
      <c r="D7">
        <v>4</v>
      </c>
      <c r="E7">
        <v>17</v>
      </c>
      <c r="F7">
        <v>68</v>
      </c>
      <c r="G7" t="s">
        <v>135</v>
      </c>
      <c r="H7" t="s">
        <v>153</v>
      </c>
      <c r="I7" s="36"/>
      <c r="J7" s="37"/>
      <c r="K7" s="37"/>
      <c r="L7" s="38"/>
      <c r="N7" t="s">
        <v>114</v>
      </c>
      <c r="O7" t="s">
        <v>145</v>
      </c>
      <c r="Q7" t="s">
        <v>145</v>
      </c>
      <c r="R7" s="27">
        <v>0.11</v>
      </c>
      <c r="S7" s="27">
        <v>0.13</v>
      </c>
      <c r="T7" s="27">
        <v>0.05</v>
      </c>
    </row>
    <row r="8" spans="1:20" x14ac:dyDescent="0.35">
      <c r="A8" t="s">
        <v>77</v>
      </c>
      <c r="B8" t="s">
        <v>78</v>
      </c>
      <c r="C8" t="s">
        <v>79</v>
      </c>
      <c r="D8">
        <v>5</v>
      </c>
      <c r="E8">
        <v>16</v>
      </c>
      <c r="F8">
        <v>80</v>
      </c>
      <c r="G8" t="s">
        <v>135</v>
      </c>
      <c r="H8" t="s">
        <v>152</v>
      </c>
      <c r="I8" s="36"/>
      <c r="J8" s="37"/>
      <c r="K8" s="37"/>
      <c r="L8" s="38"/>
      <c r="N8" t="s">
        <v>71</v>
      </c>
      <c r="O8" t="s">
        <v>139</v>
      </c>
      <c r="Q8" t="s">
        <v>140</v>
      </c>
      <c r="R8" s="27">
        <v>0.08</v>
      </c>
      <c r="S8" s="27">
        <v>0.14000000000000001</v>
      </c>
      <c r="T8" s="27">
        <v>0.1</v>
      </c>
    </row>
    <row r="9" spans="1:20" x14ac:dyDescent="0.35">
      <c r="A9" t="s">
        <v>80</v>
      </c>
      <c r="B9" t="s">
        <v>81</v>
      </c>
      <c r="C9" t="s">
        <v>82</v>
      </c>
      <c r="D9">
        <v>14</v>
      </c>
      <c r="E9">
        <v>15</v>
      </c>
      <c r="F9">
        <v>210</v>
      </c>
      <c r="G9" t="s">
        <v>137</v>
      </c>
      <c r="H9" t="s">
        <v>152</v>
      </c>
      <c r="I9" s="36"/>
      <c r="J9" s="37"/>
      <c r="K9" s="37"/>
      <c r="L9" s="38"/>
      <c r="N9" t="s">
        <v>123</v>
      </c>
      <c r="O9" t="s">
        <v>140</v>
      </c>
      <c r="Q9" t="s">
        <v>141</v>
      </c>
      <c r="R9" s="27">
        <v>0.11</v>
      </c>
      <c r="S9" s="27">
        <v>0.04</v>
      </c>
      <c r="T9" s="27">
        <v>0.14000000000000001</v>
      </c>
    </row>
    <row r="10" spans="1:20" x14ac:dyDescent="0.35">
      <c r="A10" t="s">
        <v>83</v>
      </c>
      <c r="B10" t="s">
        <v>84</v>
      </c>
      <c r="C10" t="s">
        <v>82</v>
      </c>
      <c r="D10">
        <v>20</v>
      </c>
      <c r="E10">
        <v>10</v>
      </c>
      <c r="F10">
        <v>200</v>
      </c>
      <c r="G10" t="s">
        <v>137</v>
      </c>
      <c r="H10" t="s">
        <v>152</v>
      </c>
      <c r="I10" s="36"/>
      <c r="J10" s="37"/>
      <c r="K10" s="37"/>
      <c r="L10" s="38"/>
      <c r="N10" t="s">
        <v>108</v>
      </c>
      <c r="O10" t="s">
        <v>141</v>
      </c>
      <c r="Q10" t="s">
        <v>142</v>
      </c>
      <c r="R10" s="27">
        <v>7.0000000000000007E-2</v>
      </c>
      <c r="S10" s="27">
        <v>0.1</v>
      </c>
      <c r="T10" s="27">
        <v>0.05</v>
      </c>
    </row>
    <row r="11" spans="1:20" x14ac:dyDescent="0.35">
      <c r="A11" t="s">
        <v>68</v>
      </c>
      <c r="B11" t="s">
        <v>81</v>
      </c>
      <c r="C11" t="s">
        <v>82</v>
      </c>
      <c r="D11">
        <v>14</v>
      </c>
      <c r="E11">
        <v>7</v>
      </c>
      <c r="F11">
        <v>98</v>
      </c>
      <c r="G11" t="s">
        <v>137</v>
      </c>
      <c r="H11" t="s">
        <v>153</v>
      </c>
      <c r="I11" s="36"/>
      <c r="J11" s="37"/>
      <c r="K11" s="37"/>
      <c r="L11" s="38"/>
      <c r="N11" t="s">
        <v>125</v>
      </c>
      <c r="O11" t="s">
        <v>139</v>
      </c>
      <c r="Q11" t="s">
        <v>144</v>
      </c>
      <c r="R11" s="27">
        <v>0.13</v>
      </c>
      <c r="S11" s="27">
        <v>0.1</v>
      </c>
      <c r="T11" s="27">
        <v>0.04</v>
      </c>
    </row>
    <row r="12" spans="1:20" x14ac:dyDescent="0.35">
      <c r="A12" t="s">
        <v>85</v>
      </c>
      <c r="B12" t="s">
        <v>86</v>
      </c>
      <c r="C12" t="s">
        <v>87</v>
      </c>
      <c r="D12">
        <v>7</v>
      </c>
      <c r="E12">
        <v>18</v>
      </c>
      <c r="F12">
        <v>126</v>
      </c>
      <c r="G12" t="s">
        <v>135</v>
      </c>
      <c r="H12" t="s">
        <v>152</v>
      </c>
      <c r="I12" s="36"/>
      <c r="J12" s="37"/>
      <c r="K12" s="37"/>
      <c r="L12" s="38"/>
      <c r="N12" t="s">
        <v>83</v>
      </c>
      <c r="O12" t="s">
        <v>143</v>
      </c>
    </row>
    <row r="13" spans="1:20" x14ac:dyDescent="0.35">
      <c r="A13" t="s">
        <v>88</v>
      </c>
      <c r="B13" t="s">
        <v>89</v>
      </c>
      <c r="C13" t="s">
        <v>90</v>
      </c>
      <c r="D13">
        <v>10</v>
      </c>
      <c r="E13">
        <v>9</v>
      </c>
      <c r="F13">
        <v>90</v>
      </c>
      <c r="G13" t="s">
        <v>135</v>
      </c>
      <c r="H13" t="s">
        <v>152</v>
      </c>
      <c r="I13" s="36"/>
      <c r="J13" s="37"/>
      <c r="K13" s="37"/>
      <c r="L13" s="38"/>
      <c r="N13" t="s">
        <v>65</v>
      </c>
      <c r="O13" t="s">
        <v>142</v>
      </c>
    </row>
    <row r="14" spans="1:20" x14ac:dyDescent="0.35">
      <c r="A14" t="s">
        <v>91</v>
      </c>
      <c r="B14" t="s">
        <v>92</v>
      </c>
      <c r="C14" t="s">
        <v>93</v>
      </c>
      <c r="D14">
        <v>7</v>
      </c>
      <c r="E14">
        <v>12</v>
      </c>
      <c r="F14">
        <v>84</v>
      </c>
      <c r="G14" t="s">
        <v>135</v>
      </c>
      <c r="H14" t="s">
        <v>153</v>
      </c>
      <c r="I14" s="36"/>
      <c r="J14" s="37"/>
      <c r="K14" s="37"/>
      <c r="L14" s="38"/>
      <c r="N14" t="s">
        <v>119</v>
      </c>
      <c r="O14" t="s">
        <v>141</v>
      </c>
    </row>
    <row r="15" spans="1:20" x14ac:dyDescent="0.35">
      <c r="A15" t="s">
        <v>94</v>
      </c>
      <c r="B15" t="s">
        <v>92</v>
      </c>
      <c r="C15" t="s">
        <v>93</v>
      </c>
      <c r="D15">
        <v>7</v>
      </c>
      <c r="E15">
        <v>15</v>
      </c>
      <c r="F15">
        <v>105</v>
      </c>
      <c r="G15" t="s">
        <v>135</v>
      </c>
      <c r="H15" t="s">
        <v>153</v>
      </c>
      <c r="I15" s="36"/>
      <c r="J15" s="37"/>
      <c r="K15" s="37"/>
      <c r="L15" s="38"/>
      <c r="N15" t="s">
        <v>91</v>
      </c>
      <c r="O15" t="s">
        <v>141</v>
      </c>
    </row>
    <row r="16" spans="1:20" x14ac:dyDescent="0.35">
      <c r="A16" t="s">
        <v>88</v>
      </c>
      <c r="B16" t="s">
        <v>81</v>
      </c>
      <c r="C16" t="s">
        <v>82</v>
      </c>
      <c r="D16">
        <v>14</v>
      </c>
      <c r="E16">
        <v>20</v>
      </c>
      <c r="F16">
        <v>280</v>
      </c>
      <c r="G16" t="s">
        <v>137</v>
      </c>
      <c r="H16" t="s">
        <v>152</v>
      </c>
      <c r="I16" s="36"/>
      <c r="J16" s="37"/>
      <c r="K16" s="37"/>
      <c r="L16" s="38"/>
      <c r="N16" t="s">
        <v>80</v>
      </c>
      <c r="O16" t="s">
        <v>144</v>
      </c>
    </row>
    <row r="17" spans="1:15" x14ac:dyDescent="0.35">
      <c r="A17" t="s">
        <v>95</v>
      </c>
      <c r="B17" t="s">
        <v>96</v>
      </c>
      <c r="C17" t="s">
        <v>97</v>
      </c>
      <c r="D17">
        <v>19</v>
      </c>
      <c r="E17">
        <v>11</v>
      </c>
      <c r="F17">
        <v>209</v>
      </c>
      <c r="G17" t="s">
        <v>137</v>
      </c>
      <c r="H17" t="s">
        <v>152</v>
      </c>
      <c r="I17" s="36"/>
      <c r="J17" s="37"/>
      <c r="K17" s="37"/>
      <c r="L17" s="38"/>
      <c r="N17" t="s">
        <v>111</v>
      </c>
      <c r="O17" t="s">
        <v>141</v>
      </c>
    </row>
    <row r="18" spans="1:15" x14ac:dyDescent="0.35">
      <c r="A18" t="s">
        <v>98</v>
      </c>
      <c r="B18" t="s">
        <v>99</v>
      </c>
      <c r="C18" t="s">
        <v>100</v>
      </c>
      <c r="D18">
        <v>9</v>
      </c>
      <c r="E18">
        <v>15</v>
      </c>
      <c r="F18">
        <v>135</v>
      </c>
      <c r="G18" t="s">
        <v>135</v>
      </c>
      <c r="H18" t="s">
        <v>152</v>
      </c>
      <c r="I18" s="36"/>
      <c r="J18" s="37"/>
      <c r="K18" s="37"/>
      <c r="L18" s="38"/>
      <c r="N18" t="s">
        <v>94</v>
      </c>
      <c r="O18" t="s">
        <v>140</v>
      </c>
    </row>
    <row r="19" spans="1:15" x14ac:dyDescent="0.35">
      <c r="A19" t="s">
        <v>101</v>
      </c>
      <c r="B19" t="s">
        <v>66</v>
      </c>
      <c r="C19" t="s">
        <v>67</v>
      </c>
      <c r="D19">
        <v>8</v>
      </c>
      <c r="E19">
        <v>3</v>
      </c>
      <c r="F19">
        <v>24</v>
      </c>
      <c r="G19" t="s">
        <v>135</v>
      </c>
      <c r="H19" t="s">
        <v>153</v>
      </c>
      <c r="I19" s="36"/>
      <c r="J19" s="37"/>
      <c r="K19" s="37"/>
      <c r="L19" s="38"/>
      <c r="N19" t="s">
        <v>124</v>
      </c>
      <c r="O19" t="s">
        <v>145</v>
      </c>
    </row>
    <row r="20" spans="1:15" x14ac:dyDescent="0.35">
      <c r="A20" t="s">
        <v>98</v>
      </c>
      <c r="B20" t="s">
        <v>102</v>
      </c>
      <c r="C20" t="s">
        <v>103</v>
      </c>
      <c r="D20">
        <v>4</v>
      </c>
      <c r="E20">
        <v>7</v>
      </c>
      <c r="F20">
        <v>28</v>
      </c>
      <c r="G20" t="s">
        <v>135</v>
      </c>
      <c r="H20" t="s">
        <v>153</v>
      </c>
      <c r="I20" s="36"/>
      <c r="J20" s="37"/>
      <c r="K20" s="37"/>
      <c r="L20" s="38"/>
      <c r="N20" t="s">
        <v>85</v>
      </c>
      <c r="O20" t="s">
        <v>142</v>
      </c>
    </row>
    <row r="21" spans="1:15" x14ac:dyDescent="0.35">
      <c r="A21" t="s">
        <v>104</v>
      </c>
      <c r="B21" t="s">
        <v>105</v>
      </c>
      <c r="C21" t="s">
        <v>97</v>
      </c>
      <c r="D21">
        <v>19</v>
      </c>
      <c r="E21">
        <v>15</v>
      </c>
      <c r="F21">
        <v>285</v>
      </c>
      <c r="G21" t="s">
        <v>137</v>
      </c>
      <c r="H21" t="s">
        <v>153</v>
      </c>
      <c r="I21" s="36"/>
      <c r="J21" s="37"/>
      <c r="K21" s="37"/>
      <c r="L21" s="38"/>
      <c r="N21" t="s">
        <v>88</v>
      </c>
      <c r="O21" t="s">
        <v>143</v>
      </c>
    </row>
    <row r="22" spans="1:15" x14ac:dyDescent="0.35">
      <c r="A22" t="s">
        <v>106</v>
      </c>
      <c r="B22" t="s">
        <v>107</v>
      </c>
      <c r="C22" t="s">
        <v>100</v>
      </c>
      <c r="D22">
        <v>5</v>
      </c>
      <c r="E22">
        <v>4</v>
      </c>
      <c r="F22">
        <v>20</v>
      </c>
      <c r="G22" t="s">
        <v>135</v>
      </c>
      <c r="H22" t="s">
        <v>153</v>
      </c>
      <c r="I22" s="36"/>
      <c r="J22" s="37"/>
      <c r="K22" s="37"/>
      <c r="L22" s="38"/>
      <c r="N22" t="s">
        <v>104</v>
      </c>
      <c r="O22" t="s">
        <v>146</v>
      </c>
    </row>
    <row r="23" spans="1:15" x14ac:dyDescent="0.35">
      <c r="A23" t="s">
        <v>108</v>
      </c>
      <c r="B23" t="s">
        <v>109</v>
      </c>
      <c r="C23" t="s">
        <v>100</v>
      </c>
      <c r="D23">
        <v>1</v>
      </c>
      <c r="E23">
        <v>3</v>
      </c>
      <c r="F23">
        <v>3</v>
      </c>
      <c r="G23" t="s">
        <v>135</v>
      </c>
      <c r="H23" t="s">
        <v>152</v>
      </c>
      <c r="I23" s="36"/>
      <c r="J23" s="37"/>
      <c r="K23" s="37"/>
      <c r="L23" s="38"/>
      <c r="N23" t="s">
        <v>72</v>
      </c>
      <c r="O23" t="s">
        <v>143</v>
      </c>
    </row>
    <row r="24" spans="1:15" x14ac:dyDescent="0.35">
      <c r="A24" t="s">
        <v>110</v>
      </c>
      <c r="B24" t="s">
        <v>81</v>
      </c>
      <c r="C24" t="s">
        <v>82</v>
      </c>
      <c r="D24">
        <v>14</v>
      </c>
      <c r="E24">
        <v>17</v>
      </c>
      <c r="F24">
        <v>238</v>
      </c>
      <c r="G24" t="s">
        <v>137</v>
      </c>
      <c r="H24" t="s">
        <v>153</v>
      </c>
      <c r="I24" s="36"/>
      <c r="J24" s="37"/>
      <c r="K24" s="37"/>
      <c r="L24" s="38"/>
      <c r="N24" t="s">
        <v>110</v>
      </c>
      <c r="O24" t="s">
        <v>139</v>
      </c>
    </row>
    <row r="25" spans="1:15" x14ac:dyDescent="0.35">
      <c r="A25" t="s">
        <v>91</v>
      </c>
      <c r="B25" t="s">
        <v>89</v>
      </c>
      <c r="C25" t="s">
        <v>90</v>
      </c>
      <c r="D25">
        <v>10</v>
      </c>
      <c r="E25">
        <v>5</v>
      </c>
      <c r="F25">
        <v>50</v>
      </c>
      <c r="G25" t="s">
        <v>135</v>
      </c>
      <c r="H25" t="s">
        <v>153</v>
      </c>
      <c r="I25" s="36"/>
      <c r="J25" s="37"/>
      <c r="K25" s="37"/>
      <c r="L25" s="38"/>
      <c r="N25" t="s">
        <v>122</v>
      </c>
      <c r="O25" t="s">
        <v>139</v>
      </c>
    </row>
    <row r="26" spans="1:15" x14ac:dyDescent="0.35">
      <c r="A26" t="s">
        <v>65</v>
      </c>
      <c r="B26" t="s">
        <v>102</v>
      </c>
      <c r="C26" t="s">
        <v>103</v>
      </c>
      <c r="D26">
        <v>4</v>
      </c>
      <c r="E26">
        <v>19</v>
      </c>
      <c r="F26">
        <v>76</v>
      </c>
      <c r="G26" t="s">
        <v>135</v>
      </c>
      <c r="H26" t="s">
        <v>153</v>
      </c>
      <c r="I26" s="36"/>
      <c r="J26" s="37"/>
      <c r="K26" s="37"/>
      <c r="L26" s="38"/>
      <c r="N26" t="s">
        <v>95</v>
      </c>
      <c r="O26" t="s">
        <v>146</v>
      </c>
    </row>
    <row r="27" spans="1:15" x14ac:dyDescent="0.35">
      <c r="A27" t="s">
        <v>77</v>
      </c>
      <c r="B27" t="s">
        <v>89</v>
      </c>
      <c r="C27" t="s">
        <v>90</v>
      </c>
      <c r="D27">
        <v>10</v>
      </c>
      <c r="E27">
        <v>10</v>
      </c>
      <c r="F27">
        <v>100</v>
      </c>
      <c r="G27" t="s">
        <v>135</v>
      </c>
      <c r="H27" t="s">
        <v>153</v>
      </c>
      <c r="I27" s="36"/>
      <c r="J27" s="37"/>
      <c r="K27" s="37"/>
      <c r="L27" s="38"/>
      <c r="N27" t="s">
        <v>77</v>
      </c>
      <c r="O27" t="s">
        <v>140</v>
      </c>
    </row>
    <row r="28" spans="1:15" x14ac:dyDescent="0.35">
      <c r="A28" t="s">
        <v>68</v>
      </c>
      <c r="B28" t="s">
        <v>102</v>
      </c>
      <c r="C28" t="s">
        <v>103</v>
      </c>
      <c r="D28">
        <v>4</v>
      </c>
      <c r="E28">
        <v>14</v>
      </c>
      <c r="F28">
        <v>56</v>
      </c>
      <c r="G28" t="s">
        <v>135</v>
      </c>
      <c r="H28" t="s">
        <v>152</v>
      </c>
      <c r="I28" s="36"/>
      <c r="J28" s="37"/>
      <c r="K28" s="37"/>
      <c r="L28" s="38"/>
      <c r="N28" t="s">
        <v>116</v>
      </c>
      <c r="O28" t="s">
        <v>142</v>
      </c>
    </row>
    <row r="29" spans="1:15" x14ac:dyDescent="0.35">
      <c r="A29" t="s">
        <v>111</v>
      </c>
      <c r="B29" t="s">
        <v>109</v>
      </c>
      <c r="C29" t="s">
        <v>100</v>
      </c>
      <c r="D29">
        <v>1</v>
      </c>
      <c r="E29">
        <v>4</v>
      </c>
      <c r="F29">
        <v>4</v>
      </c>
      <c r="G29" t="s">
        <v>135</v>
      </c>
      <c r="H29" t="s">
        <v>152</v>
      </c>
      <c r="I29" s="36"/>
      <c r="J29" s="37"/>
      <c r="K29" s="37"/>
      <c r="L29" s="38"/>
      <c r="N29" t="s">
        <v>121</v>
      </c>
      <c r="O29" t="s">
        <v>142</v>
      </c>
    </row>
    <row r="30" spans="1:15" x14ac:dyDescent="0.35">
      <c r="A30" t="s">
        <v>77</v>
      </c>
      <c r="B30" t="s">
        <v>107</v>
      </c>
      <c r="C30" t="s">
        <v>100</v>
      </c>
      <c r="D30">
        <v>5</v>
      </c>
      <c r="E30">
        <v>17</v>
      </c>
      <c r="F30">
        <v>85</v>
      </c>
      <c r="G30" t="s">
        <v>135</v>
      </c>
      <c r="H30" t="s">
        <v>152</v>
      </c>
      <c r="I30" s="36"/>
      <c r="J30" s="37"/>
      <c r="K30" s="37"/>
      <c r="L30" s="38"/>
      <c r="N30" t="s">
        <v>101</v>
      </c>
      <c r="O30" t="s">
        <v>146</v>
      </c>
    </row>
    <row r="31" spans="1:15" x14ac:dyDescent="0.35">
      <c r="A31" t="s">
        <v>112</v>
      </c>
      <c r="B31" t="s">
        <v>113</v>
      </c>
      <c r="C31" t="s">
        <v>90</v>
      </c>
      <c r="D31">
        <v>8</v>
      </c>
      <c r="E31">
        <v>18</v>
      </c>
      <c r="F31">
        <v>144</v>
      </c>
      <c r="G31" t="s">
        <v>135</v>
      </c>
      <c r="H31" t="s">
        <v>152</v>
      </c>
      <c r="I31" s="36"/>
      <c r="J31" s="37"/>
      <c r="K31" s="37"/>
      <c r="L31" s="38"/>
      <c r="N31" t="s">
        <v>112</v>
      </c>
      <c r="O31" t="s">
        <v>143</v>
      </c>
    </row>
    <row r="32" spans="1:15" x14ac:dyDescent="0.35">
      <c r="A32" t="s">
        <v>114</v>
      </c>
      <c r="B32" t="s">
        <v>99</v>
      </c>
      <c r="C32" t="s">
        <v>100</v>
      </c>
      <c r="D32">
        <v>9</v>
      </c>
      <c r="E32">
        <v>19</v>
      </c>
      <c r="F32">
        <v>171</v>
      </c>
      <c r="G32" t="s">
        <v>135</v>
      </c>
      <c r="H32" t="s">
        <v>152</v>
      </c>
      <c r="I32" s="36"/>
      <c r="J32" s="37"/>
      <c r="K32" s="37"/>
      <c r="L32" s="38"/>
    </row>
    <row r="33" spans="1:12" x14ac:dyDescent="0.35">
      <c r="A33" t="s">
        <v>101</v>
      </c>
      <c r="B33" t="s">
        <v>89</v>
      </c>
      <c r="C33" t="s">
        <v>90</v>
      </c>
      <c r="D33">
        <v>10</v>
      </c>
      <c r="E33">
        <v>13</v>
      </c>
      <c r="F33">
        <v>130</v>
      </c>
      <c r="G33" t="s">
        <v>135</v>
      </c>
      <c r="H33" t="s">
        <v>152</v>
      </c>
      <c r="I33" s="36"/>
      <c r="J33" s="37"/>
      <c r="K33" s="37"/>
      <c r="L33" s="38"/>
    </row>
    <row r="34" spans="1:12" x14ac:dyDescent="0.35">
      <c r="A34" t="s">
        <v>71</v>
      </c>
      <c r="B34" t="s">
        <v>92</v>
      </c>
      <c r="C34" t="s">
        <v>93</v>
      </c>
      <c r="D34">
        <v>7</v>
      </c>
      <c r="E34">
        <v>5</v>
      </c>
      <c r="F34">
        <v>35</v>
      </c>
      <c r="G34" t="s">
        <v>135</v>
      </c>
      <c r="H34" t="s">
        <v>152</v>
      </c>
      <c r="I34" s="36"/>
      <c r="J34" s="37"/>
      <c r="K34" s="37"/>
      <c r="L34" s="38"/>
    </row>
    <row r="35" spans="1:12" x14ac:dyDescent="0.35">
      <c r="A35" t="s">
        <v>98</v>
      </c>
      <c r="B35" t="s">
        <v>105</v>
      </c>
      <c r="C35" t="s">
        <v>97</v>
      </c>
      <c r="D35">
        <v>19</v>
      </c>
      <c r="E35">
        <v>18</v>
      </c>
      <c r="F35">
        <v>342</v>
      </c>
      <c r="G35" t="s">
        <v>137</v>
      </c>
      <c r="H35" t="s">
        <v>152</v>
      </c>
      <c r="I35" s="36"/>
      <c r="J35" s="37"/>
      <c r="K35" s="37"/>
      <c r="L35" s="38"/>
    </row>
    <row r="36" spans="1:12" x14ac:dyDescent="0.35">
      <c r="A36" t="s">
        <v>72</v>
      </c>
      <c r="B36" t="s">
        <v>115</v>
      </c>
      <c r="C36" t="s">
        <v>97</v>
      </c>
      <c r="D36">
        <v>11</v>
      </c>
      <c r="E36">
        <v>8</v>
      </c>
      <c r="F36">
        <v>88</v>
      </c>
      <c r="G36" t="s">
        <v>135</v>
      </c>
      <c r="H36" t="s">
        <v>153</v>
      </c>
      <c r="I36" s="36"/>
      <c r="J36" s="37"/>
      <c r="K36" s="37"/>
      <c r="L36" s="38"/>
    </row>
    <row r="37" spans="1:12" x14ac:dyDescent="0.35">
      <c r="A37" t="s">
        <v>112</v>
      </c>
      <c r="B37" t="s">
        <v>113</v>
      </c>
      <c r="C37" t="s">
        <v>90</v>
      </c>
      <c r="D37">
        <v>8</v>
      </c>
      <c r="E37">
        <v>4</v>
      </c>
      <c r="F37">
        <v>32</v>
      </c>
      <c r="G37" t="s">
        <v>135</v>
      </c>
      <c r="H37" t="s">
        <v>153</v>
      </c>
      <c r="I37" s="36"/>
      <c r="J37" s="37"/>
      <c r="K37" s="37"/>
      <c r="L37" s="38"/>
    </row>
    <row r="38" spans="1:12" x14ac:dyDescent="0.35">
      <c r="A38" t="s">
        <v>65</v>
      </c>
      <c r="B38" t="s">
        <v>78</v>
      </c>
      <c r="C38" t="s">
        <v>79</v>
      </c>
      <c r="D38">
        <v>5</v>
      </c>
      <c r="E38">
        <v>15</v>
      </c>
      <c r="F38">
        <v>75</v>
      </c>
      <c r="G38" t="s">
        <v>135</v>
      </c>
      <c r="H38" t="s">
        <v>152</v>
      </c>
      <c r="I38" s="36"/>
      <c r="J38" s="37"/>
      <c r="K38" s="37"/>
      <c r="L38" s="38"/>
    </row>
    <row r="39" spans="1:12" x14ac:dyDescent="0.35">
      <c r="A39" t="s">
        <v>106</v>
      </c>
      <c r="B39" t="s">
        <v>81</v>
      </c>
      <c r="C39" t="s">
        <v>82</v>
      </c>
      <c r="D39">
        <v>14</v>
      </c>
      <c r="E39">
        <v>15</v>
      </c>
      <c r="F39">
        <v>210</v>
      </c>
      <c r="G39" t="s">
        <v>137</v>
      </c>
      <c r="H39" t="s">
        <v>153</v>
      </c>
      <c r="I39" s="36"/>
      <c r="J39" s="37"/>
      <c r="K39" s="37"/>
      <c r="L39" s="38"/>
    </row>
    <row r="40" spans="1:12" x14ac:dyDescent="0.35">
      <c r="A40" t="s">
        <v>104</v>
      </c>
      <c r="B40" t="s">
        <v>81</v>
      </c>
      <c r="C40" t="s">
        <v>82</v>
      </c>
      <c r="D40">
        <v>14</v>
      </c>
      <c r="E40">
        <v>5</v>
      </c>
      <c r="F40">
        <v>70</v>
      </c>
      <c r="G40" t="s">
        <v>137</v>
      </c>
      <c r="H40" t="s">
        <v>153</v>
      </c>
      <c r="I40" s="36"/>
      <c r="J40" s="37"/>
      <c r="K40" s="37"/>
      <c r="L40" s="38"/>
    </row>
    <row r="41" spans="1:12" x14ac:dyDescent="0.35">
      <c r="A41" t="s">
        <v>116</v>
      </c>
      <c r="B41" t="s">
        <v>66</v>
      </c>
      <c r="C41" t="s">
        <v>67</v>
      </c>
      <c r="D41">
        <v>8</v>
      </c>
      <c r="E41">
        <v>1</v>
      </c>
      <c r="F41">
        <v>8</v>
      </c>
      <c r="G41" t="s">
        <v>135</v>
      </c>
      <c r="H41" t="s">
        <v>153</v>
      </c>
      <c r="I41" s="36"/>
      <c r="J41" s="37"/>
      <c r="K41" s="37"/>
      <c r="L41" s="38"/>
    </row>
    <row r="42" spans="1:12" x14ac:dyDescent="0.35">
      <c r="A42" t="s">
        <v>104</v>
      </c>
      <c r="B42" t="s">
        <v>117</v>
      </c>
      <c r="C42" t="s">
        <v>103</v>
      </c>
      <c r="D42">
        <v>9</v>
      </c>
      <c r="E42">
        <v>9</v>
      </c>
      <c r="F42">
        <v>81</v>
      </c>
      <c r="G42" t="s">
        <v>135</v>
      </c>
      <c r="H42" t="s">
        <v>152</v>
      </c>
      <c r="I42" s="36"/>
      <c r="J42" s="37"/>
      <c r="K42" s="37"/>
      <c r="L42" s="38"/>
    </row>
    <row r="43" spans="1:12" x14ac:dyDescent="0.35">
      <c r="A43" t="s">
        <v>108</v>
      </c>
      <c r="B43" t="s">
        <v>117</v>
      </c>
      <c r="C43" t="s">
        <v>103</v>
      </c>
      <c r="D43">
        <v>9</v>
      </c>
      <c r="E43">
        <v>12</v>
      </c>
      <c r="F43">
        <v>108</v>
      </c>
      <c r="G43" t="s">
        <v>135</v>
      </c>
      <c r="H43" t="s">
        <v>153</v>
      </c>
      <c r="I43" s="36"/>
      <c r="J43" s="37"/>
      <c r="K43" s="37"/>
      <c r="L43" s="38"/>
    </row>
    <row r="44" spans="1:12" x14ac:dyDescent="0.35">
      <c r="A44" t="s">
        <v>80</v>
      </c>
      <c r="B44" t="s">
        <v>105</v>
      </c>
      <c r="C44" t="s">
        <v>97</v>
      </c>
      <c r="D44">
        <v>19</v>
      </c>
      <c r="E44">
        <v>10</v>
      </c>
      <c r="F44">
        <v>190</v>
      </c>
      <c r="G44" t="s">
        <v>137</v>
      </c>
      <c r="H44" t="s">
        <v>152</v>
      </c>
      <c r="I44" s="36"/>
      <c r="J44" s="37"/>
      <c r="K44" s="37"/>
      <c r="L44" s="38"/>
    </row>
    <row r="45" spans="1:12" x14ac:dyDescent="0.35">
      <c r="A45" t="s">
        <v>98</v>
      </c>
      <c r="B45" t="s">
        <v>118</v>
      </c>
      <c r="C45" t="s">
        <v>76</v>
      </c>
      <c r="D45">
        <v>5</v>
      </c>
      <c r="E45">
        <v>14</v>
      </c>
      <c r="F45">
        <v>70</v>
      </c>
      <c r="G45" t="s">
        <v>135</v>
      </c>
      <c r="H45" t="s">
        <v>152</v>
      </c>
      <c r="I45" s="36"/>
      <c r="J45" s="37"/>
      <c r="K45" s="37"/>
      <c r="L45" s="38"/>
    </row>
    <row r="46" spans="1:12" x14ac:dyDescent="0.35">
      <c r="A46" t="s">
        <v>108</v>
      </c>
      <c r="B46" t="s">
        <v>81</v>
      </c>
      <c r="C46" t="s">
        <v>82</v>
      </c>
      <c r="D46">
        <v>14</v>
      </c>
      <c r="E46">
        <v>15</v>
      </c>
      <c r="F46">
        <v>210</v>
      </c>
      <c r="G46" t="s">
        <v>137</v>
      </c>
      <c r="H46" t="s">
        <v>152</v>
      </c>
      <c r="I46" s="36"/>
      <c r="J46" s="37"/>
      <c r="K46" s="37"/>
      <c r="L46" s="38"/>
    </row>
    <row r="47" spans="1:12" x14ac:dyDescent="0.35">
      <c r="A47" t="s">
        <v>111</v>
      </c>
      <c r="B47" t="s">
        <v>109</v>
      </c>
      <c r="C47" t="s">
        <v>100</v>
      </c>
      <c r="D47">
        <v>1</v>
      </c>
      <c r="E47">
        <v>2</v>
      </c>
      <c r="F47">
        <v>2</v>
      </c>
      <c r="G47" t="s">
        <v>135</v>
      </c>
      <c r="H47" t="s">
        <v>152</v>
      </c>
      <c r="I47" s="36"/>
      <c r="J47" s="37"/>
      <c r="K47" s="37"/>
      <c r="L47" s="38"/>
    </row>
    <row r="48" spans="1:12" x14ac:dyDescent="0.35">
      <c r="A48" t="s">
        <v>71</v>
      </c>
      <c r="B48" t="s">
        <v>107</v>
      </c>
      <c r="C48" t="s">
        <v>100</v>
      </c>
      <c r="D48">
        <v>5</v>
      </c>
      <c r="E48">
        <v>3</v>
      </c>
      <c r="F48">
        <v>15</v>
      </c>
      <c r="G48" t="s">
        <v>135</v>
      </c>
      <c r="H48" t="s">
        <v>153</v>
      </c>
      <c r="I48" s="36"/>
      <c r="J48" s="37"/>
      <c r="K48" s="37"/>
      <c r="L48" s="38"/>
    </row>
    <row r="49" spans="1:12" x14ac:dyDescent="0.35">
      <c r="A49" t="s">
        <v>119</v>
      </c>
      <c r="B49" t="s">
        <v>73</v>
      </c>
      <c r="C49" t="s">
        <v>74</v>
      </c>
      <c r="D49">
        <v>1</v>
      </c>
      <c r="E49">
        <v>4</v>
      </c>
      <c r="F49">
        <v>4</v>
      </c>
      <c r="G49" t="s">
        <v>135</v>
      </c>
      <c r="H49" t="s">
        <v>153</v>
      </c>
      <c r="I49" s="36"/>
      <c r="J49" s="37"/>
      <c r="K49" s="37"/>
      <c r="L49" s="38"/>
    </row>
    <row r="50" spans="1:12" x14ac:dyDescent="0.35">
      <c r="A50" t="s">
        <v>88</v>
      </c>
      <c r="B50" t="s">
        <v>81</v>
      </c>
      <c r="C50" t="s">
        <v>82</v>
      </c>
      <c r="D50">
        <v>14</v>
      </c>
      <c r="E50">
        <v>2</v>
      </c>
      <c r="F50">
        <v>28</v>
      </c>
      <c r="G50" t="s">
        <v>137</v>
      </c>
      <c r="H50" t="s">
        <v>153</v>
      </c>
      <c r="I50" s="36"/>
      <c r="J50" s="37"/>
      <c r="K50" s="37"/>
      <c r="L50" s="38"/>
    </row>
    <row r="51" spans="1:12" x14ac:dyDescent="0.35">
      <c r="A51" t="s">
        <v>68</v>
      </c>
      <c r="B51" t="s">
        <v>113</v>
      </c>
      <c r="C51" t="s">
        <v>90</v>
      </c>
      <c r="D51">
        <v>8</v>
      </c>
      <c r="E51">
        <v>1</v>
      </c>
      <c r="F51">
        <v>8</v>
      </c>
      <c r="G51" t="s">
        <v>135</v>
      </c>
      <c r="H51" t="s">
        <v>152</v>
      </c>
      <c r="I51" s="36"/>
      <c r="J51" s="37"/>
      <c r="K51" s="37"/>
      <c r="L51" s="38"/>
    </row>
    <row r="52" spans="1:12" x14ac:dyDescent="0.35">
      <c r="A52" t="s">
        <v>72</v>
      </c>
      <c r="B52" t="s">
        <v>120</v>
      </c>
      <c r="C52" t="s">
        <v>103</v>
      </c>
      <c r="D52">
        <v>3</v>
      </c>
      <c r="E52">
        <v>20</v>
      </c>
      <c r="F52">
        <v>60</v>
      </c>
      <c r="G52" t="s">
        <v>135</v>
      </c>
      <c r="H52" t="s">
        <v>153</v>
      </c>
      <c r="I52" s="36"/>
      <c r="J52" s="37"/>
      <c r="K52" s="37"/>
      <c r="L52" s="38"/>
    </row>
    <row r="53" spans="1:12" x14ac:dyDescent="0.35">
      <c r="A53" t="s">
        <v>108</v>
      </c>
      <c r="B53" t="s">
        <v>81</v>
      </c>
      <c r="C53" t="s">
        <v>82</v>
      </c>
      <c r="D53">
        <v>14</v>
      </c>
      <c r="E53">
        <v>13</v>
      </c>
      <c r="F53">
        <v>182</v>
      </c>
      <c r="G53" t="s">
        <v>137</v>
      </c>
      <c r="H53" t="s">
        <v>153</v>
      </c>
      <c r="I53" s="36"/>
      <c r="J53" s="37"/>
      <c r="K53" s="37"/>
      <c r="L53" s="38"/>
    </row>
    <row r="54" spans="1:12" x14ac:dyDescent="0.35">
      <c r="A54" t="s">
        <v>71</v>
      </c>
      <c r="B54" t="s">
        <v>69</v>
      </c>
      <c r="C54" t="s">
        <v>70</v>
      </c>
      <c r="D54">
        <v>500</v>
      </c>
      <c r="E54">
        <v>5</v>
      </c>
      <c r="F54">
        <v>2500</v>
      </c>
      <c r="G54" t="s">
        <v>136</v>
      </c>
      <c r="H54" t="s">
        <v>153</v>
      </c>
      <c r="I54" s="36"/>
      <c r="J54" s="37"/>
      <c r="K54" s="37"/>
      <c r="L54" s="38"/>
    </row>
    <row r="55" spans="1:12" x14ac:dyDescent="0.35">
      <c r="A55" t="s">
        <v>114</v>
      </c>
      <c r="B55" t="s">
        <v>118</v>
      </c>
      <c r="C55" t="s">
        <v>76</v>
      </c>
      <c r="D55">
        <v>5</v>
      </c>
      <c r="E55">
        <v>14</v>
      </c>
      <c r="F55">
        <v>70</v>
      </c>
      <c r="G55" t="s">
        <v>135</v>
      </c>
      <c r="H55" t="s">
        <v>152</v>
      </c>
      <c r="I55" s="36"/>
      <c r="J55" s="37"/>
      <c r="K55" s="37"/>
      <c r="L55" s="38"/>
    </row>
    <row r="56" spans="1:12" x14ac:dyDescent="0.35">
      <c r="A56" t="s">
        <v>98</v>
      </c>
      <c r="B56" t="s">
        <v>86</v>
      </c>
      <c r="C56" t="s">
        <v>87</v>
      </c>
      <c r="D56">
        <v>7</v>
      </c>
      <c r="E56">
        <v>2</v>
      </c>
      <c r="F56">
        <v>14</v>
      </c>
      <c r="G56" t="s">
        <v>135</v>
      </c>
      <c r="H56" t="s">
        <v>153</v>
      </c>
      <c r="I56" s="36"/>
      <c r="J56" s="37"/>
      <c r="K56" s="37"/>
      <c r="L56" s="38"/>
    </row>
    <row r="57" spans="1:12" x14ac:dyDescent="0.35">
      <c r="A57" t="s">
        <v>104</v>
      </c>
      <c r="B57" t="s">
        <v>102</v>
      </c>
      <c r="C57" t="s">
        <v>103</v>
      </c>
      <c r="D57">
        <v>4</v>
      </c>
      <c r="E57">
        <v>8</v>
      </c>
      <c r="F57">
        <v>32</v>
      </c>
      <c r="G57" t="s">
        <v>135</v>
      </c>
      <c r="H57" t="s">
        <v>152</v>
      </c>
      <c r="I57" s="36"/>
      <c r="J57" s="37"/>
      <c r="K57" s="37"/>
      <c r="L57" s="38"/>
    </row>
    <row r="58" spans="1:12" x14ac:dyDescent="0.35">
      <c r="A58" t="s">
        <v>91</v>
      </c>
      <c r="B58" t="s">
        <v>115</v>
      </c>
      <c r="C58" t="s">
        <v>97</v>
      </c>
      <c r="D58">
        <v>11</v>
      </c>
      <c r="E58">
        <v>1</v>
      </c>
      <c r="F58">
        <v>11</v>
      </c>
      <c r="G58" t="s">
        <v>135</v>
      </c>
      <c r="H58" t="s">
        <v>152</v>
      </c>
      <c r="I58" s="36"/>
      <c r="J58" s="37"/>
      <c r="K58" s="37"/>
      <c r="L58" s="38"/>
    </row>
    <row r="59" spans="1:12" x14ac:dyDescent="0.35">
      <c r="A59" t="s">
        <v>121</v>
      </c>
      <c r="B59" t="s">
        <v>118</v>
      </c>
      <c r="C59" t="s">
        <v>76</v>
      </c>
      <c r="D59">
        <v>5</v>
      </c>
      <c r="E59">
        <v>13</v>
      </c>
      <c r="F59">
        <v>65</v>
      </c>
      <c r="G59" t="s">
        <v>135</v>
      </c>
      <c r="H59" t="s">
        <v>153</v>
      </c>
      <c r="I59" s="36"/>
      <c r="J59" s="37"/>
      <c r="K59" s="37"/>
      <c r="L59" s="38"/>
    </row>
    <row r="60" spans="1:12" x14ac:dyDescent="0.35">
      <c r="A60" t="s">
        <v>71</v>
      </c>
      <c r="B60" t="s">
        <v>78</v>
      </c>
      <c r="C60" t="s">
        <v>79</v>
      </c>
      <c r="D60">
        <v>5</v>
      </c>
      <c r="E60">
        <v>16</v>
      </c>
      <c r="F60">
        <v>80</v>
      </c>
      <c r="G60" t="s">
        <v>135</v>
      </c>
      <c r="H60" t="s">
        <v>153</v>
      </c>
      <c r="I60" s="36"/>
      <c r="J60" s="37"/>
      <c r="K60" s="37"/>
      <c r="L60" s="38"/>
    </row>
    <row r="61" spans="1:12" x14ac:dyDescent="0.35">
      <c r="A61" t="s">
        <v>110</v>
      </c>
      <c r="B61" t="s">
        <v>96</v>
      </c>
      <c r="C61" t="s">
        <v>97</v>
      </c>
      <c r="D61">
        <v>19</v>
      </c>
      <c r="E61">
        <v>15</v>
      </c>
      <c r="F61">
        <v>285</v>
      </c>
      <c r="G61" t="s">
        <v>137</v>
      </c>
      <c r="H61" t="s">
        <v>153</v>
      </c>
      <c r="I61" s="36"/>
      <c r="J61" s="37"/>
      <c r="K61" s="37"/>
      <c r="L61" s="38"/>
    </row>
    <row r="62" spans="1:12" x14ac:dyDescent="0.35">
      <c r="A62" t="s">
        <v>77</v>
      </c>
      <c r="B62" t="s">
        <v>66</v>
      </c>
      <c r="C62" t="s">
        <v>67</v>
      </c>
      <c r="D62">
        <v>8</v>
      </c>
      <c r="E62">
        <v>14</v>
      </c>
      <c r="F62">
        <v>112</v>
      </c>
      <c r="G62" t="s">
        <v>135</v>
      </c>
      <c r="H62" t="s">
        <v>152</v>
      </c>
      <c r="I62" s="36"/>
      <c r="J62" s="37"/>
      <c r="K62" s="37"/>
      <c r="L62" s="38"/>
    </row>
    <row r="63" spans="1:12" x14ac:dyDescent="0.35">
      <c r="A63" t="s">
        <v>94</v>
      </c>
      <c r="B63" t="s">
        <v>118</v>
      </c>
      <c r="C63" t="s">
        <v>76</v>
      </c>
      <c r="D63">
        <v>5</v>
      </c>
      <c r="E63">
        <v>1</v>
      </c>
      <c r="F63">
        <v>5</v>
      </c>
      <c r="G63" t="s">
        <v>135</v>
      </c>
      <c r="H63" t="s">
        <v>153</v>
      </c>
      <c r="I63" s="36"/>
      <c r="J63" s="37"/>
      <c r="K63" s="37"/>
      <c r="L63" s="38"/>
    </row>
    <row r="64" spans="1:12" x14ac:dyDescent="0.35">
      <c r="A64" t="s">
        <v>122</v>
      </c>
      <c r="B64" t="s">
        <v>78</v>
      </c>
      <c r="C64" t="s">
        <v>79</v>
      </c>
      <c r="D64">
        <v>5</v>
      </c>
      <c r="E64">
        <v>15</v>
      </c>
      <c r="F64">
        <v>75</v>
      </c>
      <c r="G64" t="s">
        <v>135</v>
      </c>
      <c r="H64" t="s">
        <v>152</v>
      </c>
      <c r="I64" s="36"/>
      <c r="J64" s="37"/>
      <c r="K64" s="37"/>
      <c r="L64" s="38"/>
    </row>
    <row r="65" spans="1:12" x14ac:dyDescent="0.35">
      <c r="A65" t="s">
        <v>65</v>
      </c>
      <c r="B65" t="s">
        <v>99</v>
      </c>
      <c r="C65" t="s">
        <v>100</v>
      </c>
      <c r="D65">
        <v>9</v>
      </c>
      <c r="E65">
        <v>11</v>
      </c>
      <c r="F65">
        <v>99</v>
      </c>
      <c r="G65" t="s">
        <v>135</v>
      </c>
      <c r="H65" t="s">
        <v>152</v>
      </c>
      <c r="I65" s="36"/>
      <c r="J65" s="37"/>
      <c r="K65" s="37"/>
      <c r="L65" s="38"/>
    </row>
    <row r="66" spans="1:12" x14ac:dyDescent="0.35">
      <c r="A66" t="s">
        <v>114</v>
      </c>
      <c r="B66" t="s">
        <v>105</v>
      </c>
      <c r="C66" t="s">
        <v>97</v>
      </c>
      <c r="D66">
        <v>19</v>
      </c>
      <c r="E66">
        <v>15</v>
      </c>
      <c r="F66">
        <v>285</v>
      </c>
      <c r="G66" t="s">
        <v>137</v>
      </c>
      <c r="H66" t="s">
        <v>153</v>
      </c>
      <c r="I66" s="36"/>
      <c r="J66" s="37"/>
      <c r="K66" s="37"/>
      <c r="L66" s="38"/>
    </row>
    <row r="67" spans="1:12" x14ac:dyDescent="0.35">
      <c r="A67" t="s">
        <v>71</v>
      </c>
      <c r="B67" t="s">
        <v>107</v>
      </c>
      <c r="C67" t="s">
        <v>100</v>
      </c>
      <c r="D67">
        <v>5</v>
      </c>
      <c r="E67">
        <v>2</v>
      </c>
      <c r="F67">
        <v>10</v>
      </c>
      <c r="G67" t="s">
        <v>135</v>
      </c>
      <c r="H67" t="s">
        <v>152</v>
      </c>
      <c r="I67" s="36"/>
      <c r="J67" s="37"/>
      <c r="K67" s="37"/>
      <c r="L67" s="38"/>
    </row>
    <row r="68" spans="1:12" x14ac:dyDescent="0.35">
      <c r="A68" t="s">
        <v>116</v>
      </c>
      <c r="B68" t="s">
        <v>105</v>
      </c>
      <c r="C68" t="s">
        <v>97</v>
      </c>
      <c r="D68">
        <v>19</v>
      </c>
      <c r="E68">
        <v>11</v>
      </c>
      <c r="F68">
        <v>209</v>
      </c>
      <c r="G68" t="s">
        <v>137</v>
      </c>
      <c r="H68" t="s">
        <v>153</v>
      </c>
      <c r="I68" s="36"/>
      <c r="J68" s="37"/>
      <c r="K68" s="37"/>
      <c r="L68" s="38"/>
    </row>
    <row r="69" spans="1:12" x14ac:dyDescent="0.35">
      <c r="A69" t="s">
        <v>72</v>
      </c>
      <c r="B69" t="s">
        <v>86</v>
      </c>
      <c r="C69" t="s">
        <v>87</v>
      </c>
      <c r="D69">
        <v>7</v>
      </c>
      <c r="E69">
        <v>20</v>
      </c>
      <c r="F69">
        <v>140</v>
      </c>
      <c r="G69" t="s">
        <v>135</v>
      </c>
      <c r="H69" t="s">
        <v>153</v>
      </c>
      <c r="I69" s="36"/>
      <c r="J69" s="37"/>
      <c r="K69" s="37"/>
      <c r="L69" s="38"/>
    </row>
    <row r="70" spans="1:12" x14ac:dyDescent="0.35">
      <c r="A70" t="s">
        <v>83</v>
      </c>
      <c r="B70" t="s">
        <v>73</v>
      </c>
      <c r="C70" t="s">
        <v>74</v>
      </c>
      <c r="D70">
        <v>1</v>
      </c>
      <c r="E70">
        <v>13</v>
      </c>
      <c r="F70">
        <v>13</v>
      </c>
      <c r="G70" t="s">
        <v>135</v>
      </c>
      <c r="H70" t="s">
        <v>153</v>
      </c>
      <c r="I70" s="36"/>
      <c r="J70" s="37"/>
      <c r="K70" s="37"/>
      <c r="L70" s="38"/>
    </row>
    <row r="71" spans="1:12" x14ac:dyDescent="0.35">
      <c r="A71" t="s">
        <v>104</v>
      </c>
      <c r="B71" t="s">
        <v>109</v>
      </c>
      <c r="C71" t="s">
        <v>100</v>
      </c>
      <c r="D71">
        <v>1</v>
      </c>
      <c r="E71">
        <v>10</v>
      </c>
      <c r="F71">
        <v>10</v>
      </c>
      <c r="G71" t="s">
        <v>135</v>
      </c>
      <c r="H71" t="s">
        <v>153</v>
      </c>
      <c r="I71" s="36"/>
      <c r="J71" s="37"/>
      <c r="K71" s="37"/>
      <c r="L71" s="38"/>
    </row>
    <row r="72" spans="1:12" x14ac:dyDescent="0.35">
      <c r="A72" t="s">
        <v>71</v>
      </c>
      <c r="B72" t="s">
        <v>81</v>
      </c>
      <c r="C72" t="s">
        <v>82</v>
      </c>
      <c r="D72">
        <v>14</v>
      </c>
      <c r="E72">
        <v>16</v>
      </c>
      <c r="F72">
        <v>224</v>
      </c>
      <c r="G72" t="s">
        <v>137</v>
      </c>
      <c r="H72" t="s">
        <v>153</v>
      </c>
      <c r="I72" s="36"/>
      <c r="J72" s="37"/>
      <c r="K72" s="37"/>
      <c r="L72" s="38"/>
    </row>
    <row r="73" spans="1:12" x14ac:dyDescent="0.35">
      <c r="A73" t="s">
        <v>85</v>
      </c>
      <c r="B73" t="s">
        <v>115</v>
      </c>
      <c r="C73" t="s">
        <v>97</v>
      </c>
      <c r="D73">
        <v>11</v>
      </c>
      <c r="E73">
        <v>20</v>
      </c>
      <c r="F73">
        <v>220</v>
      </c>
      <c r="G73" t="s">
        <v>135</v>
      </c>
      <c r="H73" t="s">
        <v>153</v>
      </c>
      <c r="I73" s="36"/>
      <c r="J73" s="37"/>
      <c r="K73" s="37"/>
      <c r="L73" s="38"/>
    </row>
    <row r="74" spans="1:12" x14ac:dyDescent="0.35">
      <c r="A74" t="s">
        <v>85</v>
      </c>
      <c r="B74" t="s">
        <v>96</v>
      </c>
      <c r="C74" t="s">
        <v>97</v>
      </c>
      <c r="D74">
        <v>19</v>
      </c>
      <c r="E74">
        <v>7</v>
      </c>
      <c r="F74">
        <v>133</v>
      </c>
      <c r="G74" t="s">
        <v>137</v>
      </c>
      <c r="H74" t="s">
        <v>153</v>
      </c>
      <c r="I74" s="36"/>
      <c r="J74" s="37"/>
      <c r="K74" s="37"/>
      <c r="L74" s="38"/>
    </row>
    <row r="75" spans="1:12" x14ac:dyDescent="0.35">
      <c r="A75" t="s">
        <v>83</v>
      </c>
      <c r="B75" t="s">
        <v>120</v>
      </c>
      <c r="C75" t="s">
        <v>103</v>
      </c>
      <c r="D75">
        <v>3</v>
      </c>
      <c r="E75">
        <v>12</v>
      </c>
      <c r="F75">
        <v>36</v>
      </c>
      <c r="G75" t="s">
        <v>135</v>
      </c>
      <c r="H75" t="s">
        <v>152</v>
      </c>
      <c r="I75" s="36"/>
      <c r="J75" s="37"/>
      <c r="K75" s="37"/>
      <c r="L75" s="38"/>
    </row>
    <row r="76" spans="1:12" x14ac:dyDescent="0.35">
      <c r="A76" t="s">
        <v>101</v>
      </c>
      <c r="B76" t="s">
        <v>73</v>
      </c>
      <c r="C76" t="s">
        <v>74</v>
      </c>
      <c r="D76">
        <v>1</v>
      </c>
      <c r="E76">
        <v>11</v>
      </c>
      <c r="F76">
        <v>11</v>
      </c>
      <c r="G76" t="s">
        <v>135</v>
      </c>
      <c r="H76" t="s">
        <v>153</v>
      </c>
      <c r="I76" s="36"/>
      <c r="J76" s="37"/>
      <c r="K76" s="37"/>
      <c r="L76" s="38"/>
    </row>
    <row r="77" spans="1:12" x14ac:dyDescent="0.35">
      <c r="A77" t="s">
        <v>88</v>
      </c>
      <c r="B77" t="s">
        <v>75</v>
      </c>
      <c r="C77" t="s">
        <v>76</v>
      </c>
      <c r="D77">
        <v>4</v>
      </c>
      <c r="E77">
        <v>15</v>
      </c>
      <c r="F77">
        <v>60</v>
      </c>
      <c r="G77" t="s">
        <v>135</v>
      </c>
      <c r="H77" t="s">
        <v>153</v>
      </c>
      <c r="I77" s="36"/>
      <c r="J77" s="37"/>
      <c r="K77" s="37"/>
      <c r="L77" s="38"/>
    </row>
    <row r="78" spans="1:12" x14ac:dyDescent="0.35">
      <c r="A78" t="s">
        <v>114</v>
      </c>
      <c r="B78" t="s">
        <v>109</v>
      </c>
      <c r="C78" t="s">
        <v>100</v>
      </c>
      <c r="D78">
        <v>1</v>
      </c>
      <c r="E78">
        <v>12</v>
      </c>
      <c r="F78">
        <v>12</v>
      </c>
      <c r="G78" t="s">
        <v>135</v>
      </c>
      <c r="H78" t="s">
        <v>153</v>
      </c>
      <c r="I78" s="36"/>
      <c r="J78" s="37"/>
      <c r="K78" s="37"/>
      <c r="L78" s="38"/>
    </row>
    <row r="79" spans="1:12" x14ac:dyDescent="0.35">
      <c r="A79" t="s">
        <v>104</v>
      </c>
      <c r="B79" t="s">
        <v>113</v>
      </c>
      <c r="C79" t="s">
        <v>90</v>
      </c>
      <c r="D79">
        <v>8</v>
      </c>
      <c r="E79">
        <v>5</v>
      </c>
      <c r="F79">
        <v>40</v>
      </c>
      <c r="G79" t="s">
        <v>135</v>
      </c>
      <c r="H79" t="s">
        <v>153</v>
      </c>
      <c r="I79" s="36"/>
      <c r="J79" s="37"/>
      <c r="K79" s="37"/>
      <c r="L79" s="38"/>
    </row>
    <row r="80" spans="1:12" x14ac:dyDescent="0.35">
      <c r="A80" t="s">
        <v>80</v>
      </c>
      <c r="B80" t="s">
        <v>99</v>
      </c>
      <c r="C80" t="s">
        <v>100</v>
      </c>
      <c r="D80">
        <v>9</v>
      </c>
      <c r="E80">
        <v>11</v>
      </c>
      <c r="F80">
        <v>99</v>
      </c>
      <c r="G80" t="s">
        <v>135</v>
      </c>
      <c r="H80" t="s">
        <v>152</v>
      </c>
      <c r="I80" s="36"/>
      <c r="J80" s="37"/>
      <c r="K80" s="37"/>
      <c r="L80" s="38"/>
    </row>
    <row r="81" spans="1:12" x14ac:dyDescent="0.35">
      <c r="A81" t="s">
        <v>77</v>
      </c>
      <c r="B81" t="s">
        <v>66</v>
      </c>
      <c r="C81" t="s">
        <v>67</v>
      </c>
      <c r="D81">
        <v>8</v>
      </c>
      <c r="E81">
        <v>19</v>
      </c>
      <c r="F81">
        <v>152</v>
      </c>
      <c r="G81" t="s">
        <v>135</v>
      </c>
      <c r="H81" t="s">
        <v>152</v>
      </c>
      <c r="I81" s="36"/>
      <c r="J81" s="37"/>
      <c r="K81" s="37"/>
      <c r="L81" s="38"/>
    </row>
    <row r="82" spans="1:12" x14ac:dyDescent="0.35">
      <c r="A82" t="s">
        <v>80</v>
      </c>
      <c r="B82" t="s">
        <v>107</v>
      </c>
      <c r="C82" t="s">
        <v>100</v>
      </c>
      <c r="D82">
        <v>5</v>
      </c>
      <c r="E82">
        <v>8</v>
      </c>
      <c r="F82">
        <v>40</v>
      </c>
      <c r="G82" t="s">
        <v>135</v>
      </c>
      <c r="H82" t="s">
        <v>153</v>
      </c>
      <c r="I82" s="36"/>
      <c r="J82" s="37"/>
      <c r="K82" s="37"/>
      <c r="L82" s="38"/>
    </row>
    <row r="83" spans="1:12" x14ac:dyDescent="0.35">
      <c r="A83" t="s">
        <v>123</v>
      </c>
      <c r="B83" t="s">
        <v>69</v>
      </c>
      <c r="C83" t="s">
        <v>70</v>
      </c>
      <c r="D83">
        <v>500</v>
      </c>
      <c r="E83">
        <v>9</v>
      </c>
      <c r="F83">
        <v>4500</v>
      </c>
      <c r="G83" t="s">
        <v>136</v>
      </c>
      <c r="H83" t="s">
        <v>153</v>
      </c>
      <c r="I83" s="36"/>
      <c r="J83" s="37"/>
      <c r="K83" s="37"/>
      <c r="L83" s="38"/>
    </row>
    <row r="84" spans="1:12" x14ac:dyDescent="0.35">
      <c r="A84" t="s">
        <v>108</v>
      </c>
      <c r="B84" t="s">
        <v>92</v>
      </c>
      <c r="C84" t="s">
        <v>93</v>
      </c>
      <c r="D84">
        <v>7</v>
      </c>
      <c r="E84">
        <v>7</v>
      </c>
      <c r="F84">
        <v>49</v>
      </c>
      <c r="G84" t="s">
        <v>135</v>
      </c>
      <c r="H84" t="s">
        <v>152</v>
      </c>
      <c r="I84" s="36"/>
      <c r="J84" s="37"/>
      <c r="K84" s="37"/>
      <c r="L84" s="38"/>
    </row>
    <row r="85" spans="1:12" x14ac:dyDescent="0.35">
      <c r="A85" t="s">
        <v>108</v>
      </c>
      <c r="B85" t="s">
        <v>69</v>
      </c>
      <c r="C85" t="s">
        <v>70</v>
      </c>
      <c r="D85">
        <v>500</v>
      </c>
      <c r="E85">
        <v>6</v>
      </c>
      <c r="F85">
        <v>3000</v>
      </c>
      <c r="G85" t="s">
        <v>136</v>
      </c>
      <c r="H85" t="s">
        <v>152</v>
      </c>
      <c r="I85" s="36"/>
      <c r="J85" s="37"/>
      <c r="K85" s="37"/>
      <c r="L85" s="38"/>
    </row>
    <row r="86" spans="1:12" x14ac:dyDescent="0.35">
      <c r="A86" t="s">
        <v>119</v>
      </c>
      <c r="B86" t="s">
        <v>96</v>
      </c>
      <c r="C86" t="s">
        <v>97</v>
      </c>
      <c r="D86">
        <v>19</v>
      </c>
      <c r="E86">
        <v>4</v>
      </c>
      <c r="F86">
        <v>76</v>
      </c>
      <c r="G86" t="s">
        <v>137</v>
      </c>
      <c r="H86" t="s">
        <v>153</v>
      </c>
      <c r="I86" s="36"/>
      <c r="J86" s="37"/>
      <c r="K86" s="37"/>
      <c r="L86" s="38"/>
    </row>
    <row r="87" spans="1:12" x14ac:dyDescent="0.35">
      <c r="A87" t="s">
        <v>104</v>
      </c>
      <c r="B87" t="s">
        <v>102</v>
      </c>
      <c r="C87" t="s">
        <v>103</v>
      </c>
      <c r="D87">
        <v>4</v>
      </c>
      <c r="E87">
        <v>17</v>
      </c>
      <c r="F87">
        <v>68</v>
      </c>
      <c r="G87" t="s">
        <v>135</v>
      </c>
      <c r="H87" t="s">
        <v>153</v>
      </c>
      <c r="I87" s="36"/>
      <c r="J87" s="37"/>
      <c r="K87" s="37"/>
      <c r="L87" s="38"/>
    </row>
    <row r="88" spans="1:12" x14ac:dyDescent="0.35">
      <c r="A88" t="s">
        <v>83</v>
      </c>
      <c r="B88" t="s">
        <v>120</v>
      </c>
      <c r="C88" t="s">
        <v>103</v>
      </c>
      <c r="D88">
        <v>3</v>
      </c>
      <c r="E88">
        <v>10</v>
      </c>
      <c r="F88">
        <v>30</v>
      </c>
      <c r="G88" t="s">
        <v>135</v>
      </c>
      <c r="H88" t="s">
        <v>153</v>
      </c>
      <c r="I88" s="36"/>
      <c r="J88" s="37"/>
      <c r="K88" s="37"/>
      <c r="L88" s="38"/>
    </row>
    <row r="89" spans="1:12" x14ac:dyDescent="0.35">
      <c r="A89" t="s">
        <v>104</v>
      </c>
      <c r="B89" t="s">
        <v>118</v>
      </c>
      <c r="C89" t="s">
        <v>76</v>
      </c>
      <c r="D89">
        <v>5</v>
      </c>
      <c r="E89">
        <v>10</v>
      </c>
      <c r="F89">
        <v>50</v>
      </c>
      <c r="G89" t="s">
        <v>135</v>
      </c>
      <c r="H89" t="s">
        <v>152</v>
      </c>
      <c r="I89" s="36"/>
      <c r="J89" s="37"/>
      <c r="K89" s="37"/>
      <c r="L89" s="38"/>
    </row>
    <row r="90" spans="1:12" x14ac:dyDescent="0.35">
      <c r="A90" t="s">
        <v>72</v>
      </c>
      <c r="B90" t="s">
        <v>66</v>
      </c>
      <c r="C90" t="s">
        <v>67</v>
      </c>
      <c r="D90">
        <v>8</v>
      </c>
      <c r="E90">
        <v>5</v>
      </c>
      <c r="F90">
        <v>40</v>
      </c>
      <c r="G90" t="s">
        <v>135</v>
      </c>
      <c r="H90" t="s">
        <v>153</v>
      </c>
      <c r="I90" s="36"/>
      <c r="J90" s="37"/>
      <c r="K90" s="37"/>
      <c r="L90" s="38"/>
    </row>
    <row r="91" spans="1:12" x14ac:dyDescent="0.35">
      <c r="A91" t="s">
        <v>124</v>
      </c>
      <c r="B91" t="s">
        <v>107</v>
      </c>
      <c r="C91" t="s">
        <v>100</v>
      </c>
      <c r="D91">
        <v>5</v>
      </c>
      <c r="E91">
        <v>18</v>
      </c>
      <c r="F91">
        <v>90</v>
      </c>
      <c r="G91" t="s">
        <v>135</v>
      </c>
      <c r="H91" t="s">
        <v>152</v>
      </c>
      <c r="I91" s="36"/>
      <c r="J91" s="37"/>
      <c r="K91" s="37"/>
      <c r="L91" s="38"/>
    </row>
    <row r="92" spans="1:12" x14ac:dyDescent="0.35">
      <c r="A92" t="s">
        <v>110</v>
      </c>
      <c r="B92" t="s">
        <v>75</v>
      </c>
      <c r="C92" t="s">
        <v>76</v>
      </c>
      <c r="D92">
        <v>4</v>
      </c>
      <c r="E92">
        <v>20</v>
      </c>
      <c r="F92">
        <v>80</v>
      </c>
      <c r="G92" t="s">
        <v>135</v>
      </c>
      <c r="H92" t="s">
        <v>152</v>
      </c>
      <c r="I92" s="36"/>
      <c r="J92" s="37"/>
      <c r="K92" s="37"/>
      <c r="L92" s="38"/>
    </row>
    <row r="93" spans="1:12" x14ac:dyDescent="0.35">
      <c r="A93" t="s">
        <v>123</v>
      </c>
      <c r="B93" t="s">
        <v>120</v>
      </c>
      <c r="C93" t="s">
        <v>103</v>
      </c>
      <c r="D93">
        <v>3</v>
      </c>
      <c r="E93">
        <v>9</v>
      </c>
      <c r="F93">
        <v>27</v>
      </c>
      <c r="G93" t="s">
        <v>135</v>
      </c>
      <c r="H93" t="s">
        <v>152</v>
      </c>
      <c r="I93" s="36"/>
      <c r="J93" s="37"/>
      <c r="K93" s="37"/>
      <c r="L93" s="38"/>
    </row>
    <row r="94" spans="1:12" x14ac:dyDescent="0.35">
      <c r="A94" t="s">
        <v>110</v>
      </c>
      <c r="B94" t="s">
        <v>78</v>
      </c>
      <c r="C94" t="s">
        <v>79</v>
      </c>
      <c r="D94">
        <v>5</v>
      </c>
      <c r="E94">
        <v>18</v>
      </c>
      <c r="F94">
        <v>90</v>
      </c>
      <c r="G94" t="s">
        <v>135</v>
      </c>
      <c r="H94" t="s">
        <v>153</v>
      </c>
      <c r="I94" s="36"/>
      <c r="J94" s="37"/>
      <c r="K94" s="37"/>
      <c r="L94" s="38"/>
    </row>
    <row r="95" spans="1:12" x14ac:dyDescent="0.35">
      <c r="A95" t="s">
        <v>111</v>
      </c>
      <c r="B95" t="s">
        <v>86</v>
      </c>
      <c r="C95" t="s">
        <v>87</v>
      </c>
      <c r="D95">
        <v>7</v>
      </c>
      <c r="E95">
        <v>10</v>
      </c>
      <c r="F95">
        <v>70</v>
      </c>
      <c r="G95" t="s">
        <v>135</v>
      </c>
      <c r="H95" t="s">
        <v>152</v>
      </c>
      <c r="I95" s="36"/>
      <c r="J95" s="37"/>
      <c r="K95" s="37"/>
      <c r="L95" s="38"/>
    </row>
    <row r="96" spans="1:12" x14ac:dyDescent="0.35">
      <c r="A96" t="s">
        <v>104</v>
      </c>
      <c r="B96" t="s">
        <v>107</v>
      </c>
      <c r="C96" t="s">
        <v>100</v>
      </c>
      <c r="D96">
        <v>5</v>
      </c>
      <c r="E96">
        <v>8</v>
      </c>
      <c r="F96">
        <v>40</v>
      </c>
      <c r="G96" t="s">
        <v>135</v>
      </c>
      <c r="H96" t="s">
        <v>153</v>
      </c>
      <c r="I96" s="36"/>
      <c r="J96" s="37"/>
      <c r="K96" s="37"/>
      <c r="L96" s="38"/>
    </row>
    <row r="97" spans="1:12" x14ac:dyDescent="0.35">
      <c r="A97" t="s">
        <v>91</v>
      </c>
      <c r="B97" t="s">
        <v>73</v>
      </c>
      <c r="C97" t="s">
        <v>74</v>
      </c>
      <c r="D97">
        <v>1</v>
      </c>
      <c r="E97">
        <v>4</v>
      </c>
      <c r="F97">
        <v>4</v>
      </c>
      <c r="G97" t="s">
        <v>135</v>
      </c>
      <c r="H97" t="s">
        <v>153</v>
      </c>
      <c r="I97" s="36"/>
      <c r="J97" s="37"/>
      <c r="K97" s="37"/>
      <c r="L97" s="38"/>
    </row>
    <row r="98" spans="1:12" x14ac:dyDescent="0.35">
      <c r="A98" t="s">
        <v>110</v>
      </c>
      <c r="B98" t="s">
        <v>120</v>
      </c>
      <c r="C98" t="s">
        <v>103</v>
      </c>
      <c r="D98">
        <v>3</v>
      </c>
      <c r="E98">
        <v>17</v>
      </c>
      <c r="F98">
        <v>51</v>
      </c>
      <c r="G98" t="s">
        <v>135</v>
      </c>
      <c r="H98" t="s">
        <v>152</v>
      </c>
      <c r="I98" s="36"/>
      <c r="J98" s="37"/>
      <c r="K98" s="37"/>
      <c r="L98" s="38"/>
    </row>
    <row r="99" spans="1:12" x14ac:dyDescent="0.35">
      <c r="A99" t="s">
        <v>83</v>
      </c>
      <c r="B99" t="s">
        <v>75</v>
      </c>
      <c r="C99" t="s">
        <v>76</v>
      </c>
      <c r="D99">
        <v>4</v>
      </c>
      <c r="E99">
        <v>19</v>
      </c>
      <c r="F99">
        <v>76</v>
      </c>
      <c r="G99" t="s">
        <v>135</v>
      </c>
      <c r="H99" t="s">
        <v>152</v>
      </c>
      <c r="I99" s="36"/>
      <c r="J99" s="37"/>
      <c r="K99" s="37"/>
      <c r="L99" s="38"/>
    </row>
    <row r="100" spans="1:12" x14ac:dyDescent="0.35">
      <c r="A100" t="s">
        <v>94</v>
      </c>
      <c r="B100" t="s">
        <v>99</v>
      </c>
      <c r="C100" t="s">
        <v>100</v>
      </c>
      <c r="D100">
        <v>9</v>
      </c>
      <c r="E100">
        <v>4</v>
      </c>
      <c r="F100">
        <v>36</v>
      </c>
      <c r="G100" t="s">
        <v>135</v>
      </c>
      <c r="H100" t="s">
        <v>153</v>
      </c>
      <c r="I100" s="36"/>
      <c r="J100" s="37"/>
      <c r="K100" s="37"/>
      <c r="L100" s="38"/>
    </row>
    <row r="101" spans="1:12" x14ac:dyDescent="0.35">
      <c r="A101" t="s">
        <v>122</v>
      </c>
      <c r="B101" t="s">
        <v>84</v>
      </c>
      <c r="C101" t="s">
        <v>82</v>
      </c>
      <c r="D101">
        <v>20</v>
      </c>
      <c r="E101">
        <v>19</v>
      </c>
      <c r="F101">
        <v>380</v>
      </c>
      <c r="G101" t="s">
        <v>137</v>
      </c>
      <c r="H101" t="s">
        <v>153</v>
      </c>
      <c r="I101" s="36"/>
      <c r="J101" s="37"/>
      <c r="K101" s="37"/>
      <c r="L101" s="38"/>
    </row>
    <row r="102" spans="1:12" x14ac:dyDescent="0.35">
      <c r="A102" t="s">
        <v>108</v>
      </c>
      <c r="B102" t="s">
        <v>69</v>
      </c>
      <c r="C102" t="s">
        <v>70</v>
      </c>
      <c r="D102">
        <v>500</v>
      </c>
      <c r="E102">
        <v>3</v>
      </c>
      <c r="F102">
        <v>1500</v>
      </c>
      <c r="G102" t="s">
        <v>136</v>
      </c>
      <c r="H102" t="s">
        <v>152</v>
      </c>
      <c r="I102" s="36"/>
      <c r="J102" s="37"/>
      <c r="K102" s="37"/>
      <c r="L102" s="38"/>
    </row>
    <row r="103" spans="1:12" x14ac:dyDescent="0.35">
      <c r="A103" t="s">
        <v>72</v>
      </c>
      <c r="B103" t="s">
        <v>92</v>
      </c>
      <c r="C103" t="s">
        <v>93</v>
      </c>
      <c r="D103">
        <v>7</v>
      </c>
      <c r="E103">
        <v>14</v>
      </c>
      <c r="F103">
        <v>98</v>
      </c>
      <c r="G103" t="s">
        <v>135</v>
      </c>
      <c r="H103" t="s">
        <v>153</v>
      </c>
      <c r="I103" s="36"/>
      <c r="J103" s="37"/>
      <c r="K103" s="37"/>
      <c r="L103" s="38"/>
    </row>
    <row r="104" spans="1:12" x14ac:dyDescent="0.35">
      <c r="A104" t="s">
        <v>112</v>
      </c>
      <c r="B104" t="s">
        <v>66</v>
      </c>
      <c r="C104" t="s">
        <v>67</v>
      </c>
      <c r="D104">
        <v>8</v>
      </c>
      <c r="E104">
        <v>13</v>
      </c>
      <c r="F104">
        <v>104</v>
      </c>
      <c r="G104" t="s">
        <v>135</v>
      </c>
      <c r="H104" t="s">
        <v>153</v>
      </c>
      <c r="I104" s="36"/>
      <c r="J104" s="37"/>
      <c r="K104" s="37"/>
      <c r="L104" s="38"/>
    </row>
    <row r="105" spans="1:12" x14ac:dyDescent="0.35">
      <c r="A105" t="s">
        <v>112</v>
      </c>
      <c r="B105" t="s">
        <v>73</v>
      </c>
      <c r="C105" t="s">
        <v>74</v>
      </c>
      <c r="D105">
        <v>1</v>
      </c>
      <c r="E105">
        <v>17</v>
      </c>
      <c r="F105">
        <v>17</v>
      </c>
      <c r="G105" t="s">
        <v>135</v>
      </c>
      <c r="H105" t="s">
        <v>153</v>
      </c>
      <c r="I105" s="36"/>
      <c r="J105" s="37"/>
      <c r="K105" s="37"/>
      <c r="L105" s="38"/>
    </row>
    <row r="106" spans="1:12" x14ac:dyDescent="0.35">
      <c r="A106" t="s">
        <v>77</v>
      </c>
      <c r="B106" t="s">
        <v>89</v>
      </c>
      <c r="C106" t="s">
        <v>90</v>
      </c>
      <c r="D106">
        <v>10</v>
      </c>
      <c r="E106">
        <v>16</v>
      </c>
      <c r="F106">
        <v>160</v>
      </c>
      <c r="G106" t="s">
        <v>135</v>
      </c>
      <c r="H106" t="s">
        <v>153</v>
      </c>
      <c r="I106" s="36"/>
      <c r="J106" s="37"/>
      <c r="K106" s="37"/>
      <c r="L106" s="38"/>
    </row>
    <row r="107" spans="1:12" x14ac:dyDescent="0.35">
      <c r="A107" t="s">
        <v>119</v>
      </c>
      <c r="B107" t="s">
        <v>78</v>
      </c>
      <c r="C107" t="s">
        <v>79</v>
      </c>
      <c r="D107">
        <v>5</v>
      </c>
      <c r="E107">
        <v>10</v>
      </c>
      <c r="F107">
        <v>50</v>
      </c>
      <c r="G107" t="s">
        <v>135</v>
      </c>
      <c r="H107" t="s">
        <v>153</v>
      </c>
      <c r="I107" s="36"/>
      <c r="J107" s="37"/>
      <c r="K107" s="37"/>
      <c r="L107" s="38"/>
    </row>
    <row r="108" spans="1:12" x14ac:dyDescent="0.35">
      <c r="A108" t="s">
        <v>68</v>
      </c>
      <c r="B108" t="s">
        <v>92</v>
      </c>
      <c r="C108" t="s">
        <v>93</v>
      </c>
      <c r="D108">
        <v>7</v>
      </c>
      <c r="E108">
        <v>20</v>
      </c>
      <c r="F108">
        <v>140</v>
      </c>
      <c r="G108" t="s">
        <v>135</v>
      </c>
      <c r="H108" t="s">
        <v>152</v>
      </c>
      <c r="I108" s="36"/>
      <c r="J108" s="37"/>
      <c r="K108" s="37"/>
      <c r="L108" s="38"/>
    </row>
    <row r="109" spans="1:12" x14ac:dyDescent="0.35">
      <c r="A109" t="s">
        <v>112</v>
      </c>
      <c r="B109" t="s">
        <v>120</v>
      </c>
      <c r="C109" t="s">
        <v>103</v>
      </c>
      <c r="D109">
        <v>3</v>
      </c>
      <c r="E109">
        <v>17</v>
      </c>
      <c r="F109">
        <v>51</v>
      </c>
      <c r="G109" t="s">
        <v>135</v>
      </c>
      <c r="H109" t="s">
        <v>153</v>
      </c>
      <c r="I109" s="36"/>
      <c r="J109" s="37"/>
      <c r="K109" s="37"/>
      <c r="L109" s="38"/>
    </row>
    <row r="110" spans="1:12" x14ac:dyDescent="0.35">
      <c r="A110" t="s">
        <v>104</v>
      </c>
      <c r="B110" t="s">
        <v>118</v>
      </c>
      <c r="C110" t="s">
        <v>76</v>
      </c>
      <c r="D110">
        <v>5</v>
      </c>
      <c r="E110">
        <v>13</v>
      </c>
      <c r="F110">
        <v>65</v>
      </c>
      <c r="G110" t="s">
        <v>135</v>
      </c>
      <c r="H110" t="s">
        <v>152</v>
      </c>
      <c r="I110" s="36"/>
      <c r="J110" s="37"/>
      <c r="K110" s="37"/>
      <c r="L110" s="38"/>
    </row>
    <row r="111" spans="1:12" x14ac:dyDescent="0.35">
      <c r="A111" t="s">
        <v>72</v>
      </c>
      <c r="B111" t="s">
        <v>113</v>
      </c>
      <c r="C111" t="s">
        <v>90</v>
      </c>
      <c r="D111">
        <v>8</v>
      </c>
      <c r="E111">
        <v>7</v>
      </c>
      <c r="F111">
        <v>56</v>
      </c>
      <c r="G111" t="s">
        <v>135</v>
      </c>
      <c r="H111" t="s">
        <v>153</v>
      </c>
      <c r="I111" s="36"/>
      <c r="J111" s="37"/>
      <c r="K111" s="37"/>
      <c r="L111" s="38"/>
    </row>
    <row r="112" spans="1:12" x14ac:dyDescent="0.35">
      <c r="A112" t="s">
        <v>72</v>
      </c>
      <c r="B112" t="s">
        <v>92</v>
      </c>
      <c r="C112" t="s">
        <v>93</v>
      </c>
      <c r="D112">
        <v>7</v>
      </c>
      <c r="E112">
        <v>11</v>
      </c>
      <c r="F112">
        <v>77</v>
      </c>
      <c r="G112" t="s">
        <v>135</v>
      </c>
      <c r="H112" t="s">
        <v>153</v>
      </c>
      <c r="I112" s="36"/>
      <c r="J112" s="37"/>
      <c r="K112" s="37"/>
      <c r="L112" s="38"/>
    </row>
    <row r="113" spans="1:12" x14ac:dyDescent="0.35">
      <c r="A113" t="s">
        <v>94</v>
      </c>
      <c r="B113" t="s">
        <v>81</v>
      </c>
      <c r="C113" t="s">
        <v>82</v>
      </c>
      <c r="D113">
        <v>14</v>
      </c>
      <c r="E113">
        <v>16</v>
      </c>
      <c r="F113">
        <v>224</v>
      </c>
      <c r="G113" t="s">
        <v>137</v>
      </c>
      <c r="H113" t="s">
        <v>152</v>
      </c>
      <c r="I113" s="36"/>
      <c r="J113" s="37"/>
      <c r="K113" s="37"/>
      <c r="L113" s="38"/>
    </row>
    <row r="114" spans="1:12" x14ac:dyDescent="0.35">
      <c r="A114" t="s">
        <v>114</v>
      </c>
      <c r="B114" t="s">
        <v>86</v>
      </c>
      <c r="C114" t="s">
        <v>87</v>
      </c>
      <c r="D114">
        <v>7</v>
      </c>
      <c r="E114">
        <v>14</v>
      </c>
      <c r="F114">
        <v>98</v>
      </c>
      <c r="G114" t="s">
        <v>135</v>
      </c>
      <c r="H114" t="s">
        <v>153</v>
      </c>
      <c r="I114" s="36"/>
      <c r="J114" s="37"/>
      <c r="K114" s="37"/>
      <c r="L114" s="38"/>
    </row>
    <row r="115" spans="1:12" x14ac:dyDescent="0.35">
      <c r="A115" t="s">
        <v>125</v>
      </c>
      <c r="B115" t="s">
        <v>73</v>
      </c>
      <c r="C115" t="s">
        <v>74</v>
      </c>
      <c r="D115">
        <v>1</v>
      </c>
      <c r="E115">
        <v>18</v>
      </c>
      <c r="F115">
        <v>18</v>
      </c>
      <c r="G115" t="s">
        <v>135</v>
      </c>
      <c r="H115" t="s">
        <v>153</v>
      </c>
      <c r="I115" s="36"/>
      <c r="J115" s="37"/>
      <c r="K115" s="37"/>
      <c r="L115" s="38"/>
    </row>
    <row r="116" spans="1:12" x14ac:dyDescent="0.35">
      <c r="A116" t="s">
        <v>91</v>
      </c>
      <c r="B116" t="s">
        <v>96</v>
      </c>
      <c r="C116" t="s">
        <v>97</v>
      </c>
      <c r="D116">
        <v>19</v>
      </c>
      <c r="E116">
        <v>7</v>
      </c>
      <c r="F116">
        <v>133</v>
      </c>
      <c r="G116" t="s">
        <v>137</v>
      </c>
      <c r="H116" t="s">
        <v>153</v>
      </c>
      <c r="I116" s="36"/>
      <c r="J116" s="37"/>
      <c r="K116" s="37"/>
      <c r="L116" s="38"/>
    </row>
    <row r="117" spans="1:12" x14ac:dyDescent="0.35">
      <c r="A117" t="s">
        <v>72</v>
      </c>
      <c r="B117" t="s">
        <v>126</v>
      </c>
      <c r="C117" t="s">
        <v>82</v>
      </c>
      <c r="D117">
        <v>13</v>
      </c>
      <c r="E117">
        <v>6</v>
      </c>
      <c r="F117">
        <v>78</v>
      </c>
      <c r="G117" t="s">
        <v>137</v>
      </c>
      <c r="H117" t="s">
        <v>152</v>
      </c>
      <c r="I117" s="36"/>
      <c r="J117" s="37"/>
      <c r="K117" s="37"/>
      <c r="L117" s="38"/>
    </row>
    <row r="118" spans="1:12" x14ac:dyDescent="0.35">
      <c r="A118" t="s">
        <v>71</v>
      </c>
      <c r="B118" t="s">
        <v>84</v>
      </c>
      <c r="C118" t="s">
        <v>82</v>
      </c>
      <c r="D118">
        <v>20</v>
      </c>
      <c r="E118">
        <v>6</v>
      </c>
      <c r="F118">
        <v>120</v>
      </c>
      <c r="G118" t="s">
        <v>137</v>
      </c>
      <c r="H118" t="s">
        <v>153</v>
      </c>
      <c r="I118" s="36"/>
      <c r="J118" s="37"/>
      <c r="K118" s="37"/>
      <c r="L118" s="38"/>
    </row>
    <row r="119" spans="1:12" x14ac:dyDescent="0.35">
      <c r="A119" t="s">
        <v>83</v>
      </c>
      <c r="B119" t="s">
        <v>81</v>
      </c>
      <c r="C119" t="s">
        <v>82</v>
      </c>
      <c r="D119">
        <v>14</v>
      </c>
      <c r="E119">
        <v>16</v>
      </c>
      <c r="F119">
        <v>224</v>
      </c>
      <c r="G119" t="s">
        <v>137</v>
      </c>
      <c r="H119" t="s">
        <v>153</v>
      </c>
      <c r="I119" s="36"/>
      <c r="J119" s="37"/>
      <c r="K119" s="37"/>
      <c r="L119" s="38"/>
    </row>
    <row r="120" spans="1:12" x14ac:dyDescent="0.35">
      <c r="A120" t="s">
        <v>123</v>
      </c>
      <c r="B120" t="s">
        <v>96</v>
      </c>
      <c r="C120" t="s">
        <v>97</v>
      </c>
      <c r="D120">
        <v>19</v>
      </c>
      <c r="E120">
        <v>15</v>
      </c>
      <c r="F120">
        <v>285</v>
      </c>
      <c r="G120" t="s">
        <v>137</v>
      </c>
      <c r="H120" t="s">
        <v>152</v>
      </c>
      <c r="I120" s="36"/>
      <c r="J120" s="37"/>
      <c r="K120" s="37"/>
      <c r="L120" s="38"/>
    </row>
    <row r="121" spans="1:12" x14ac:dyDescent="0.35">
      <c r="A121" t="s">
        <v>124</v>
      </c>
      <c r="B121" t="s">
        <v>113</v>
      </c>
      <c r="C121" t="s">
        <v>90</v>
      </c>
      <c r="D121">
        <v>8</v>
      </c>
      <c r="E121">
        <v>9</v>
      </c>
      <c r="F121">
        <v>72</v>
      </c>
      <c r="G121" t="s">
        <v>135</v>
      </c>
      <c r="H121" t="s">
        <v>152</v>
      </c>
      <c r="I121" s="36"/>
      <c r="J121" s="37"/>
      <c r="K121" s="37"/>
      <c r="L121" s="38"/>
    </row>
    <row r="122" spans="1:12" x14ac:dyDescent="0.35">
      <c r="A122" t="s">
        <v>72</v>
      </c>
      <c r="B122" t="s">
        <v>66</v>
      </c>
      <c r="C122" t="s">
        <v>67</v>
      </c>
      <c r="D122">
        <v>8</v>
      </c>
      <c r="E122">
        <v>13</v>
      </c>
      <c r="F122">
        <v>104</v>
      </c>
      <c r="G122" t="s">
        <v>135</v>
      </c>
      <c r="H122" t="s">
        <v>152</v>
      </c>
      <c r="I122" s="36"/>
      <c r="J122" s="37"/>
      <c r="K122" s="37"/>
      <c r="L122" s="38"/>
    </row>
    <row r="123" spans="1:12" x14ac:dyDescent="0.35">
      <c r="A123" t="s">
        <v>121</v>
      </c>
      <c r="B123" t="s">
        <v>86</v>
      </c>
      <c r="C123" t="s">
        <v>87</v>
      </c>
      <c r="D123">
        <v>7</v>
      </c>
      <c r="E123">
        <v>8</v>
      </c>
      <c r="F123">
        <v>56</v>
      </c>
      <c r="G123" t="s">
        <v>135</v>
      </c>
      <c r="H123" t="s">
        <v>153</v>
      </c>
      <c r="I123" s="36"/>
      <c r="J123" s="37"/>
      <c r="K123" s="37"/>
      <c r="L123" s="38"/>
    </row>
    <row r="124" spans="1:12" x14ac:dyDescent="0.35">
      <c r="A124" t="s">
        <v>125</v>
      </c>
      <c r="B124" t="s">
        <v>107</v>
      </c>
      <c r="C124" t="s">
        <v>100</v>
      </c>
      <c r="D124">
        <v>5</v>
      </c>
      <c r="E124">
        <v>5</v>
      </c>
      <c r="F124">
        <v>25</v>
      </c>
      <c r="G124" t="s">
        <v>135</v>
      </c>
      <c r="H124" t="s">
        <v>152</v>
      </c>
      <c r="I124" s="36"/>
      <c r="J124" s="37"/>
      <c r="K124" s="37"/>
      <c r="L124" s="38"/>
    </row>
    <row r="125" spans="1:12" x14ac:dyDescent="0.35">
      <c r="A125" t="s">
        <v>123</v>
      </c>
      <c r="B125" t="s">
        <v>120</v>
      </c>
      <c r="C125" t="s">
        <v>103</v>
      </c>
      <c r="D125">
        <v>3</v>
      </c>
      <c r="E125">
        <v>14</v>
      </c>
      <c r="F125">
        <v>42</v>
      </c>
      <c r="G125" t="s">
        <v>135</v>
      </c>
      <c r="H125" t="s">
        <v>153</v>
      </c>
      <c r="I125" s="36"/>
      <c r="J125" s="37"/>
      <c r="K125" s="37"/>
      <c r="L125" s="38"/>
    </row>
    <row r="126" spans="1:12" x14ac:dyDescent="0.35">
      <c r="A126" t="s">
        <v>121</v>
      </c>
      <c r="B126" t="s">
        <v>86</v>
      </c>
      <c r="C126" t="s">
        <v>87</v>
      </c>
      <c r="D126">
        <v>7</v>
      </c>
      <c r="E126">
        <v>8</v>
      </c>
      <c r="F126">
        <v>56</v>
      </c>
      <c r="G126" t="s">
        <v>135</v>
      </c>
      <c r="H126" t="s">
        <v>152</v>
      </c>
      <c r="I126" s="36"/>
      <c r="J126" s="37"/>
      <c r="K126" s="37"/>
      <c r="L126" s="38"/>
    </row>
    <row r="127" spans="1:12" x14ac:dyDescent="0.35">
      <c r="A127" t="s">
        <v>125</v>
      </c>
      <c r="B127" t="s">
        <v>96</v>
      </c>
      <c r="C127" t="s">
        <v>97</v>
      </c>
      <c r="D127">
        <v>19</v>
      </c>
      <c r="E127">
        <v>16</v>
      </c>
      <c r="F127">
        <v>304</v>
      </c>
      <c r="G127" t="s">
        <v>137</v>
      </c>
      <c r="H127" t="s">
        <v>153</v>
      </c>
      <c r="I127" s="36"/>
      <c r="J127" s="37"/>
      <c r="K127" s="37"/>
      <c r="L127" s="38"/>
    </row>
    <row r="128" spans="1:12" x14ac:dyDescent="0.35">
      <c r="A128" t="s">
        <v>94</v>
      </c>
      <c r="B128" t="s">
        <v>126</v>
      </c>
      <c r="C128" t="s">
        <v>82</v>
      </c>
      <c r="D128">
        <v>13</v>
      </c>
      <c r="E128">
        <v>11</v>
      </c>
      <c r="F128">
        <v>143</v>
      </c>
      <c r="G128" t="s">
        <v>137</v>
      </c>
      <c r="H128" t="s">
        <v>153</v>
      </c>
      <c r="I128" s="36"/>
      <c r="J128" s="37"/>
      <c r="K128" s="37"/>
      <c r="L128" s="38"/>
    </row>
    <row r="129" spans="1:12" x14ac:dyDescent="0.35">
      <c r="A129" t="s">
        <v>123</v>
      </c>
      <c r="B129" t="s">
        <v>84</v>
      </c>
      <c r="C129" t="s">
        <v>82</v>
      </c>
      <c r="D129">
        <v>20</v>
      </c>
      <c r="E129">
        <v>14</v>
      </c>
      <c r="F129">
        <v>280</v>
      </c>
      <c r="G129" t="s">
        <v>137</v>
      </c>
      <c r="H129" t="s">
        <v>152</v>
      </c>
      <c r="I129" s="36"/>
      <c r="J129" s="37"/>
      <c r="K129" s="37"/>
      <c r="L129" s="38"/>
    </row>
    <row r="130" spans="1:12" x14ac:dyDescent="0.35">
      <c r="A130" t="s">
        <v>104</v>
      </c>
      <c r="B130" t="s">
        <v>113</v>
      </c>
      <c r="C130" t="s">
        <v>90</v>
      </c>
      <c r="D130">
        <v>8</v>
      </c>
      <c r="E130">
        <v>18</v>
      </c>
      <c r="F130">
        <v>144</v>
      </c>
      <c r="G130" t="s">
        <v>135</v>
      </c>
      <c r="H130" t="s">
        <v>153</v>
      </c>
      <c r="I130" s="36"/>
      <c r="J130" s="37"/>
      <c r="K130" s="37"/>
      <c r="L130" s="38"/>
    </row>
    <row r="131" spans="1:12" x14ac:dyDescent="0.35">
      <c r="A131" t="s">
        <v>112</v>
      </c>
      <c r="B131" t="s">
        <v>69</v>
      </c>
      <c r="C131" t="s">
        <v>70</v>
      </c>
      <c r="D131">
        <v>500</v>
      </c>
      <c r="E131">
        <v>9</v>
      </c>
      <c r="F131">
        <v>4500</v>
      </c>
      <c r="G131" t="s">
        <v>136</v>
      </c>
      <c r="H131" t="s">
        <v>152</v>
      </c>
      <c r="I131" s="36"/>
      <c r="J131" s="37"/>
      <c r="K131" s="37"/>
      <c r="L131" s="38"/>
    </row>
    <row r="132" spans="1:12" x14ac:dyDescent="0.35">
      <c r="A132" t="s">
        <v>112</v>
      </c>
      <c r="B132" t="s">
        <v>118</v>
      </c>
      <c r="C132" t="s">
        <v>76</v>
      </c>
      <c r="D132">
        <v>5</v>
      </c>
      <c r="E132">
        <v>12</v>
      </c>
      <c r="F132">
        <v>60</v>
      </c>
      <c r="G132" t="s">
        <v>135</v>
      </c>
      <c r="H132" t="s">
        <v>153</v>
      </c>
      <c r="I132" s="36"/>
      <c r="J132" s="37"/>
      <c r="K132" s="37"/>
      <c r="L132" s="38"/>
    </row>
    <row r="133" spans="1:12" x14ac:dyDescent="0.35">
      <c r="A133" t="s">
        <v>122</v>
      </c>
      <c r="B133" t="s">
        <v>78</v>
      </c>
      <c r="C133" t="s">
        <v>79</v>
      </c>
      <c r="D133">
        <v>5</v>
      </c>
      <c r="E133">
        <v>4</v>
      </c>
      <c r="F133">
        <v>20</v>
      </c>
      <c r="G133" t="s">
        <v>135</v>
      </c>
      <c r="H133" t="s">
        <v>153</v>
      </c>
      <c r="I133" s="36"/>
      <c r="J133" s="37"/>
      <c r="K133" s="37"/>
      <c r="L133" s="38"/>
    </row>
    <row r="134" spans="1:12" x14ac:dyDescent="0.35">
      <c r="A134" t="s">
        <v>119</v>
      </c>
      <c r="B134" t="s">
        <v>120</v>
      </c>
      <c r="C134" t="s">
        <v>103</v>
      </c>
      <c r="D134">
        <v>3</v>
      </c>
      <c r="E134">
        <v>6</v>
      </c>
      <c r="F134">
        <v>18</v>
      </c>
      <c r="G134" t="s">
        <v>135</v>
      </c>
      <c r="H134" t="s">
        <v>153</v>
      </c>
      <c r="I134" s="36"/>
      <c r="J134" s="37"/>
      <c r="K134" s="37"/>
      <c r="L134" s="38"/>
    </row>
    <row r="135" spans="1:12" x14ac:dyDescent="0.35">
      <c r="A135" t="s">
        <v>119</v>
      </c>
      <c r="B135" t="s">
        <v>81</v>
      </c>
      <c r="C135" t="s">
        <v>82</v>
      </c>
      <c r="D135">
        <v>14</v>
      </c>
      <c r="E135">
        <v>9</v>
      </c>
      <c r="F135">
        <v>126</v>
      </c>
      <c r="G135" t="s">
        <v>137</v>
      </c>
      <c r="H135" t="s">
        <v>153</v>
      </c>
      <c r="I135" s="36"/>
      <c r="J135" s="37"/>
      <c r="K135" s="37"/>
      <c r="L135" s="38"/>
    </row>
    <row r="136" spans="1:12" x14ac:dyDescent="0.35">
      <c r="A136" t="s">
        <v>124</v>
      </c>
      <c r="B136" t="s">
        <v>115</v>
      </c>
      <c r="C136" t="s">
        <v>97</v>
      </c>
      <c r="D136">
        <v>11</v>
      </c>
      <c r="E136">
        <v>9</v>
      </c>
      <c r="F136">
        <v>99</v>
      </c>
      <c r="G136" t="s">
        <v>135</v>
      </c>
      <c r="H136" t="s">
        <v>153</v>
      </c>
      <c r="I136" s="36"/>
      <c r="J136" s="37"/>
      <c r="K136" s="37"/>
      <c r="L136" s="38"/>
    </row>
    <row r="137" spans="1:12" x14ac:dyDescent="0.35">
      <c r="A137" t="s">
        <v>95</v>
      </c>
      <c r="B137" t="s">
        <v>81</v>
      </c>
      <c r="C137" t="s">
        <v>82</v>
      </c>
      <c r="D137">
        <v>14</v>
      </c>
      <c r="E137">
        <v>3</v>
      </c>
      <c r="F137">
        <v>42</v>
      </c>
      <c r="G137" t="s">
        <v>137</v>
      </c>
      <c r="H137" t="s">
        <v>152</v>
      </c>
      <c r="I137" s="36"/>
      <c r="J137" s="37"/>
      <c r="K137" s="37"/>
      <c r="L137" s="38"/>
    </row>
    <row r="138" spans="1:12" x14ac:dyDescent="0.35">
      <c r="A138" t="s">
        <v>71</v>
      </c>
      <c r="B138" t="s">
        <v>66</v>
      </c>
      <c r="C138" t="s">
        <v>67</v>
      </c>
      <c r="D138">
        <v>8</v>
      </c>
      <c r="E138">
        <v>19</v>
      </c>
      <c r="F138">
        <v>152</v>
      </c>
      <c r="G138" t="s">
        <v>135</v>
      </c>
      <c r="H138" t="s">
        <v>153</v>
      </c>
      <c r="I138" s="36"/>
      <c r="J138" s="37"/>
      <c r="K138" s="37"/>
      <c r="L138" s="38"/>
    </row>
    <row r="139" spans="1:12" x14ac:dyDescent="0.35">
      <c r="A139" t="s">
        <v>116</v>
      </c>
      <c r="B139" t="s">
        <v>107</v>
      </c>
      <c r="C139" t="s">
        <v>100</v>
      </c>
      <c r="D139">
        <v>5</v>
      </c>
      <c r="E139">
        <v>3</v>
      </c>
      <c r="F139">
        <v>15</v>
      </c>
      <c r="G139" t="s">
        <v>135</v>
      </c>
      <c r="H139" t="s">
        <v>153</v>
      </c>
      <c r="I139" s="36"/>
      <c r="J139" s="37"/>
      <c r="K139" s="37"/>
      <c r="L139" s="38"/>
    </row>
    <row r="140" spans="1:12" x14ac:dyDescent="0.35">
      <c r="A140" t="s">
        <v>125</v>
      </c>
      <c r="B140" t="s">
        <v>115</v>
      </c>
      <c r="C140" t="s">
        <v>97</v>
      </c>
      <c r="D140">
        <v>11</v>
      </c>
      <c r="E140">
        <v>8</v>
      </c>
      <c r="F140">
        <v>88</v>
      </c>
      <c r="G140" t="s">
        <v>135</v>
      </c>
      <c r="H140" t="s">
        <v>152</v>
      </c>
      <c r="I140" s="36"/>
      <c r="J140" s="37"/>
      <c r="K140" s="37"/>
      <c r="L140" s="38"/>
    </row>
    <row r="141" spans="1:12" x14ac:dyDescent="0.35">
      <c r="A141" t="s">
        <v>124</v>
      </c>
      <c r="B141" t="s">
        <v>126</v>
      </c>
      <c r="C141" t="s">
        <v>82</v>
      </c>
      <c r="D141">
        <v>13</v>
      </c>
      <c r="E141">
        <v>2</v>
      </c>
      <c r="F141">
        <v>26</v>
      </c>
      <c r="G141" t="s">
        <v>137</v>
      </c>
      <c r="H141" t="s">
        <v>152</v>
      </c>
      <c r="I141" s="36"/>
      <c r="J141" s="37"/>
      <c r="K141" s="37"/>
      <c r="L141" s="38"/>
    </row>
    <row r="142" spans="1:12" x14ac:dyDescent="0.35">
      <c r="A142" t="s">
        <v>88</v>
      </c>
      <c r="B142" t="s">
        <v>113</v>
      </c>
      <c r="C142" t="s">
        <v>90</v>
      </c>
      <c r="D142">
        <v>8</v>
      </c>
      <c r="E142">
        <v>17</v>
      </c>
      <c r="F142">
        <v>136</v>
      </c>
      <c r="G142" t="s">
        <v>135</v>
      </c>
      <c r="H142" t="s">
        <v>153</v>
      </c>
      <c r="I142" s="36"/>
      <c r="J142" s="37"/>
      <c r="K142" s="37"/>
      <c r="L142" s="38"/>
    </row>
    <row r="143" spans="1:12" x14ac:dyDescent="0.35">
      <c r="A143" t="s">
        <v>108</v>
      </c>
      <c r="B143" t="s">
        <v>99</v>
      </c>
      <c r="C143" t="s">
        <v>100</v>
      </c>
      <c r="D143">
        <v>9</v>
      </c>
      <c r="E143">
        <v>11</v>
      </c>
      <c r="F143">
        <v>99</v>
      </c>
      <c r="G143" t="s">
        <v>135</v>
      </c>
      <c r="H143" t="s">
        <v>152</v>
      </c>
      <c r="I143" s="36"/>
      <c r="J143" s="37"/>
      <c r="K143" s="37"/>
      <c r="L143" s="38"/>
    </row>
    <row r="144" spans="1:12" x14ac:dyDescent="0.35">
      <c r="A144" t="s">
        <v>68</v>
      </c>
      <c r="B144" t="s">
        <v>81</v>
      </c>
      <c r="C144" t="s">
        <v>82</v>
      </c>
      <c r="D144">
        <v>14</v>
      </c>
      <c r="E144">
        <v>7</v>
      </c>
      <c r="F144">
        <v>98</v>
      </c>
      <c r="G144" t="s">
        <v>137</v>
      </c>
      <c r="H144" t="s">
        <v>153</v>
      </c>
      <c r="I144" s="36"/>
      <c r="J144" s="37"/>
      <c r="K144" s="37"/>
      <c r="L144" s="38"/>
    </row>
    <row r="145" spans="1:12" x14ac:dyDescent="0.35">
      <c r="A145" t="s">
        <v>111</v>
      </c>
      <c r="B145" t="s">
        <v>69</v>
      </c>
      <c r="C145" t="s">
        <v>70</v>
      </c>
      <c r="D145">
        <v>500</v>
      </c>
      <c r="E145">
        <v>3</v>
      </c>
      <c r="F145">
        <v>1500</v>
      </c>
      <c r="G145" t="s">
        <v>136</v>
      </c>
      <c r="H145" t="s">
        <v>152</v>
      </c>
      <c r="I145" s="36"/>
      <c r="J145" s="37"/>
      <c r="K145" s="37"/>
      <c r="L145" s="38"/>
    </row>
    <row r="146" spans="1:12" x14ac:dyDescent="0.35">
      <c r="A146" t="s">
        <v>111</v>
      </c>
      <c r="B146" t="s">
        <v>66</v>
      </c>
      <c r="C146" t="s">
        <v>67</v>
      </c>
      <c r="D146">
        <v>8</v>
      </c>
      <c r="E146">
        <v>5</v>
      </c>
      <c r="F146">
        <v>40</v>
      </c>
      <c r="G146" t="s">
        <v>135</v>
      </c>
      <c r="H146" t="s">
        <v>152</v>
      </c>
      <c r="I146" s="36"/>
      <c r="J146" s="37"/>
      <c r="K146" s="37"/>
      <c r="L146" s="38"/>
    </row>
    <row r="147" spans="1:12" x14ac:dyDescent="0.35">
      <c r="A147" t="s">
        <v>65</v>
      </c>
      <c r="B147" t="s">
        <v>118</v>
      </c>
      <c r="C147" t="s">
        <v>76</v>
      </c>
      <c r="D147">
        <v>5</v>
      </c>
      <c r="E147">
        <v>16</v>
      </c>
      <c r="F147">
        <v>80</v>
      </c>
      <c r="G147" t="s">
        <v>135</v>
      </c>
      <c r="H147" t="s">
        <v>152</v>
      </c>
      <c r="I147" s="36"/>
      <c r="J147" s="37"/>
      <c r="K147" s="37"/>
      <c r="L147" s="38"/>
    </row>
    <row r="148" spans="1:12" x14ac:dyDescent="0.35">
      <c r="A148" t="s">
        <v>91</v>
      </c>
      <c r="B148" t="s">
        <v>92</v>
      </c>
      <c r="C148" t="s">
        <v>93</v>
      </c>
      <c r="D148">
        <v>7</v>
      </c>
      <c r="E148">
        <v>2</v>
      </c>
      <c r="F148">
        <v>14</v>
      </c>
      <c r="G148" t="s">
        <v>135</v>
      </c>
      <c r="H148" t="s">
        <v>152</v>
      </c>
      <c r="I148" s="36"/>
      <c r="J148" s="37"/>
      <c r="K148" s="37"/>
      <c r="L148" s="38"/>
    </row>
    <row r="149" spans="1:12" x14ac:dyDescent="0.35">
      <c r="A149" t="s">
        <v>85</v>
      </c>
      <c r="B149" t="s">
        <v>120</v>
      </c>
      <c r="C149" t="s">
        <v>103</v>
      </c>
      <c r="D149">
        <v>3</v>
      </c>
      <c r="E149">
        <v>11</v>
      </c>
      <c r="F149">
        <v>33</v>
      </c>
      <c r="G149" t="s">
        <v>135</v>
      </c>
      <c r="H149" t="s">
        <v>152</v>
      </c>
      <c r="I149" s="36"/>
      <c r="J149" s="37"/>
      <c r="K149" s="37"/>
      <c r="L149" s="38"/>
    </row>
    <row r="150" spans="1:12" x14ac:dyDescent="0.35">
      <c r="A150" t="s">
        <v>125</v>
      </c>
      <c r="B150" t="s">
        <v>102</v>
      </c>
      <c r="C150" t="s">
        <v>103</v>
      </c>
      <c r="D150">
        <v>4</v>
      </c>
      <c r="E150">
        <v>14</v>
      </c>
      <c r="F150">
        <v>56</v>
      </c>
      <c r="G150" t="s">
        <v>135</v>
      </c>
      <c r="H150" t="s">
        <v>153</v>
      </c>
      <c r="I150" s="36"/>
      <c r="J150" s="37"/>
      <c r="K150" s="37"/>
      <c r="L150" s="38"/>
    </row>
    <row r="151" spans="1:12" x14ac:dyDescent="0.35">
      <c r="A151" t="s">
        <v>106</v>
      </c>
      <c r="B151" t="s">
        <v>105</v>
      </c>
      <c r="C151" t="s">
        <v>97</v>
      </c>
      <c r="D151">
        <v>19</v>
      </c>
      <c r="E151">
        <v>6</v>
      </c>
      <c r="F151">
        <v>114</v>
      </c>
      <c r="G151" t="s">
        <v>137</v>
      </c>
      <c r="H151" t="s">
        <v>153</v>
      </c>
      <c r="I151" s="36"/>
      <c r="J151" s="37"/>
      <c r="K151" s="37"/>
      <c r="L151" s="38"/>
    </row>
    <row r="152" spans="1:12" x14ac:dyDescent="0.35">
      <c r="A152" t="s">
        <v>83</v>
      </c>
      <c r="B152" t="s">
        <v>92</v>
      </c>
      <c r="C152" t="s">
        <v>93</v>
      </c>
      <c r="D152">
        <v>7</v>
      </c>
      <c r="E152">
        <v>5</v>
      </c>
      <c r="F152">
        <v>35</v>
      </c>
      <c r="G152" t="s">
        <v>135</v>
      </c>
      <c r="H152" t="s">
        <v>152</v>
      </c>
      <c r="I152" s="36"/>
      <c r="J152" s="37"/>
      <c r="K152" s="37"/>
      <c r="L152" s="38"/>
    </row>
    <row r="153" spans="1:12" x14ac:dyDescent="0.35">
      <c r="A153" t="s">
        <v>94</v>
      </c>
      <c r="B153" t="s">
        <v>89</v>
      </c>
      <c r="C153" t="s">
        <v>90</v>
      </c>
      <c r="D153">
        <v>10</v>
      </c>
      <c r="E153">
        <v>9</v>
      </c>
      <c r="F153">
        <v>90</v>
      </c>
      <c r="G153" t="s">
        <v>135</v>
      </c>
      <c r="H153" t="s">
        <v>152</v>
      </c>
      <c r="I153" s="36"/>
      <c r="J153" s="37"/>
      <c r="K153" s="37"/>
      <c r="L153" s="38"/>
    </row>
    <row r="154" spans="1:12" x14ac:dyDescent="0.35">
      <c r="A154" t="s">
        <v>65</v>
      </c>
      <c r="B154" t="s">
        <v>96</v>
      </c>
      <c r="C154" t="s">
        <v>97</v>
      </c>
      <c r="D154">
        <v>19</v>
      </c>
      <c r="E154">
        <v>6</v>
      </c>
      <c r="F154">
        <v>114</v>
      </c>
      <c r="G154" t="s">
        <v>137</v>
      </c>
      <c r="H154" t="s">
        <v>153</v>
      </c>
      <c r="I154" s="36"/>
      <c r="J154" s="37"/>
      <c r="K154" s="37"/>
      <c r="L154" s="38"/>
    </row>
    <row r="155" spans="1:12" x14ac:dyDescent="0.35">
      <c r="A155" t="s">
        <v>111</v>
      </c>
      <c r="B155" t="s">
        <v>69</v>
      </c>
      <c r="C155" t="s">
        <v>70</v>
      </c>
      <c r="D155">
        <v>500</v>
      </c>
      <c r="E155">
        <v>1</v>
      </c>
      <c r="F155">
        <v>500</v>
      </c>
      <c r="G155" t="s">
        <v>136</v>
      </c>
      <c r="H155" t="s">
        <v>153</v>
      </c>
      <c r="I155" s="36"/>
      <c r="J155" s="37"/>
      <c r="K155" s="37"/>
      <c r="L155" s="38"/>
    </row>
    <row r="156" spans="1:12" x14ac:dyDescent="0.35">
      <c r="A156" t="s">
        <v>110</v>
      </c>
      <c r="B156" t="s">
        <v>84</v>
      </c>
      <c r="C156" t="s">
        <v>82</v>
      </c>
      <c r="D156">
        <v>20</v>
      </c>
      <c r="E156">
        <v>19</v>
      </c>
      <c r="F156">
        <v>380</v>
      </c>
      <c r="G156" t="s">
        <v>137</v>
      </c>
      <c r="H156" t="s">
        <v>152</v>
      </c>
      <c r="I156" s="36"/>
      <c r="J156" s="37"/>
      <c r="K156" s="37"/>
      <c r="L156" s="38"/>
    </row>
    <row r="157" spans="1:12" x14ac:dyDescent="0.35">
      <c r="A157" t="s">
        <v>112</v>
      </c>
      <c r="B157" t="s">
        <v>92</v>
      </c>
      <c r="C157" t="s">
        <v>93</v>
      </c>
      <c r="D157">
        <v>7</v>
      </c>
      <c r="E157">
        <v>4</v>
      </c>
      <c r="F157">
        <v>28</v>
      </c>
      <c r="G157" t="s">
        <v>135</v>
      </c>
      <c r="H157" t="s">
        <v>153</v>
      </c>
      <c r="I157" s="36"/>
      <c r="J157" s="37"/>
      <c r="K157" s="37"/>
      <c r="L157" s="38"/>
    </row>
    <row r="158" spans="1:12" x14ac:dyDescent="0.35">
      <c r="A158" t="s">
        <v>121</v>
      </c>
      <c r="B158" t="s">
        <v>117</v>
      </c>
      <c r="C158" t="s">
        <v>103</v>
      </c>
      <c r="D158">
        <v>9</v>
      </c>
      <c r="E158">
        <v>15</v>
      </c>
      <c r="F158">
        <v>135</v>
      </c>
      <c r="G158" t="s">
        <v>135</v>
      </c>
      <c r="H158" t="s">
        <v>153</v>
      </c>
      <c r="I158" s="36"/>
      <c r="J158" s="37"/>
      <c r="K158" s="37"/>
      <c r="L158" s="38"/>
    </row>
    <row r="159" spans="1:12" x14ac:dyDescent="0.35">
      <c r="A159" t="s">
        <v>94</v>
      </c>
      <c r="B159" t="s">
        <v>105</v>
      </c>
      <c r="C159" t="s">
        <v>97</v>
      </c>
      <c r="D159">
        <v>19</v>
      </c>
      <c r="E159">
        <v>12</v>
      </c>
      <c r="F159">
        <v>228</v>
      </c>
      <c r="G159" t="s">
        <v>137</v>
      </c>
      <c r="H159" t="s">
        <v>152</v>
      </c>
      <c r="I159" s="36"/>
      <c r="J159" s="37"/>
      <c r="K159" s="37"/>
      <c r="L159" s="38"/>
    </row>
    <row r="160" spans="1:12" x14ac:dyDescent="0.35">
      <c r="A160" t="s">
        <v>125</v>
      </c>
      <c r="B160" t="s">
        <v>84</v>
      </c>
      <c r="C160" t="s">
        <v>82</v>
      </c>
      <c r="D160">
        <v>20</v>
      </c>
      <c r="E160">
        <v>17</v>
      </c>
      <c r="F160">
        <v>340</v>
      </c>
      <c r="G160" t="s">
        <v>137</v>
      </c>
      <c r="H160" t="s">
        <v>152</v>
      </c>
      <c r="I160" s="36"/>
      <c r="J160" s="37"/>
      <c r="K160" s="37"/>
      <c r="L160" s="38"/>
    </row>
    <row r="161" spans="1:12" x14ac:dyDescent="0.35">
      <c r="A161" t="s">
        <v>116</v>
      </c>
      <c r="B161" t="s">
        <v>81</v>
      </c>
      <c r="C161" t="s">
        <v>82</v>
      </c>
      <c r="D161">
        <v>14</v>
      </c>
      <c r="E161">
        <v>4</v>
      </c>
      <c r="F161">
        <v>56</v>
      </c>
      <c r="G161" t="s">
        <v>137</v>
      </c>
      <c r="H161" t="s">
        <v>152</v>
      </c>
      <c r="I161" s="36"/>
      <c r="J161" s="37"/>
      <c r="K161" s="37"/>
      <c r="L161" s="38"/>
    </row>
    <row r="162" spans="1:12" x14ac:dyDescent="0.35">
      <c r="A162" t="s">
        <v>91</v>
      </c>
      <c r="B162" t="s">
        <v>120</v>
      </c>
      <c r="C162" t="s">
        <v>103</v>
      </c>
      <c r="D162">
        <v>3</v>
      </c>
      <c r="E162">
        <v>1</v>
      </c>
      <c r="F162">
        <v>3</v>
      </c>
      <c r="G162" t="s">
        <v>135</v>
      </c>
      <c r="H162" t="s">
        <v>153</v>
      </c>
      <c r="I162" s="36"/>
      <c r="J162" s="37"/>
      <c r="K162" s="37"/>
      <c r="L162" s="38"/>
    </row>
    <row r="163" spans="1:12" x14ac:dyDescent="0.35">
      <c r="A163" t="s">
        <v>72</v>
      </c>
      <c r="B163" t="s">
        <v>92</v>
      </c>
      <c r="C163" t="s">
        <v>93</v>
      </c>
      <c r="D163">
        <v>7</v>
      </c>
      <c r="E163">
        <v>1</v>
      </c>
      <c r="F163">
        <v>7</v>
      </c>
      <c r="G163" t="s">
        <v>135</v>
      </c>
      <c r="H163" t="s">
        <v>152</v>
      </c>
      <c r="I163" s="36"/>
      <c r="J163" s="37"/>
      <c r="K163" s="37"/>
      <c r="L163" s="38"/>
    </row>
    <row r="164" spans="1:12" x14ac:dyDescent="0.35">
      <c r="A164" t="s">
        <v>104</v>
      </c>
      <c r="B164" t="s">
        <v>92</v>
      </c>
      <c r="C164" t="s">
        <v>93</v>
      </c>
      <c r="D164">
        <v>7</v>
      </c>
      <c r="E164">
        <v>17</v>
      </c>
      <c r="F164">
        <v>119</v>
      </c>
      <c r="G164" t="s">
        <v>135</v>
      </c>
      <c r="H164" t="s">
        <v>152</v>
      </c>
      <c r="I164" s="36"/>
      <c r="J164" s="37"/>
      <c r="K164" s="37"/>
      <c r="L164" s="38"/>
    </row>
    <row r="165" spans="1:12" x14ac:dyDescent="0.35">
      <c r="A165" t="s">
        <v>98</v>
      </c>
      <c r="B165" t="s">
        <v>66</v>
      </c>
      <c r="C165" t="s">
        <v>67</v>
      </c>
      <c r="D165">
        <v>8</v>
      </c>
      <c r="E165">
        <v>18</v>
      </c>
      <c r="F165">
        <v>144</v>
      </c>
      <c r="G165" t="s">
        <v>135</v>
      </c>
      <c r="H165" t="s">
        <v>152</v>
      </c>
      <c r="I165" s="36"/>
      <c r="J165" s="37"/>
      <c r="K165" s="37"/>
      <c r="L165" s="38"/>
    </row>
    <row r="166" spans="1:12" x14ac:dyDescent="0.35">
      <c r="A166" t="s">
        <v>124</v>
      </c>
      <c r="B166" t="s">
        <v>109</v>
      </c>
      <c r="C166" t="s">
        <v>100</v>
      </c>
      <c r="D166">
        <v>1</v>
      </c>
      <c r="E166">
        <v>12</v>
      </c>
      <c r="F166">
        <v>12</v>
      </c>
      <c r="G166" t="s">
        <v>135</v>
      </c>
      <c r="H166" t="s">
        <v>153</v>
      </c>
      <c r="I166" s="36"/>
      <c r="J166" s="37"/>
      <c r="K166" s="37"/>
      <c r="L166" s="38"/>
    </row>
    <row r="167" spans="1:12" x14ac:dyDescent="0.35">
      <c r="A167" t="s">
        <v>83</v>
      </c>
      <c r="B167" t="s">
        <v>69</v>
      </c>
      <c r="C167" t="s">
        <v>70</v>
      </c>
      <c r="D167">
        <v>500</v>
      </c>
      <c r="E167">
        <v>1</v>
      </c>
      <c r="F167">
        <v>500</v>
      </c>
      <c r="G167" t="s">
        <v>136</v>
      </c>
      <c r="H167" t="s">
        <v>153</v>
      </c>
      <c r="I167" s="36"/>
      <c r="J167" s="37"/>
      <c r="K167" s="37"/>
      <c r="L167" s="38"/>
    </row>
    <row r="168" spans="1:12" x14ac:dyDescent="0.35">
      <c r="A168" t="s">
        <v>104</v>
      </c>
      <c r="B168" t="s">
        <v>105</v>
      </c>
      <c r="C168" t="s">
        <v>97</v>
      </c>
      <c r="D168">
        <v>19</v>
      </c>
      <c r="E168">
        <v>7</v>
      </c>
      <c r="F168">
        <v>133</v>
      </c>
      <c r="G168" t="s">
        <v>137</v>
      </c>
      <c r="H168" t="s">
        <v>153</v>
      </c>
      <c r="I168" s="36"/>
      <c r="J168" s="37"/>
      <c r="K168" s="37"/>
      <c r="L168" s="38"/>
    </row>
    <row r="169" spans="1:12" x14ac:dyDescent="0.35">
      <c r="A169" t="s">
        <v>98</v>
      </c>
      <c r="B169" t="s">
        <v>117</v>
      </c>
      <c r="C169" t="s">
        <v>103</v>
      </c>
      <c r="D169">
        <v>9</v>
      </c>
      <c r="E169">
        <v>19</v>
      </c>
      <c r="F169">
        <v>171</v>
      </c>
      <c r="G169" t="s">
        <v>135</v>
      </c>
      <c r="H169" t="s">
        <v>152</v>
      </c>
      <c r="I169" s="36"/>
      <c r="J169" s="37"/>
      <c r="K169" s="37"/>
      <c r="L169" s="38"/>
    </row>
    <row r="170" spans="1:12" x14ac:dyDescent="0.35">
      <c r="A170" t="s">
        <v>101</v>
      </c>
      <c r="B170" t="s">
        <v>92</v>
      </c>
      <c r="C170" t="s">
        <v>93</v>
      </c>
      <c r="D170">
        <v>7</v>
      </c>
      <c r="E170">
        <v>5</v>
      </c>
      <c r="F170">
        <v>35</v>
      </c>
      <c r="G170" t="s">
        <v>135</v>
      </c>
      <c r="H170" t="s">
        <v>152</v>
      </c>
      <c r="I170" s="36"/>
      <c r="J170" s="37"/>
      <c r="K170" s="37"/>
      <c r="L170" s="38"/>
    </row>
    <row r="171" spans="1:12" x14ac:dyDescent="0.35">
      <c r="A171" t="s">
        <v>110</v>
      </c>
      <c r="B171" t="s">
        <v>113</v>
      </c>
      <c r="C171" t="s">
        <v>90</v>
      </c>
      <c r="D171">
        <v>8</v>
      </c>
      <c r="E171">
        <v>3</v>
      </c>
      <c r="F171">
        <v>24</v>
      </c>
      <c r="G171" t="s">
        <v>135</v>
      </c>
      <c r="H171" t="s">
        <v>152</v>
      </c>
      <c r="I171" s="36"/>
      <c r="J171" s="37"/>
      <c r="K171" s="37"/>
      <c r="L171" s="38"/>
    </row>
    <row r="172" spans="1:12" x14ac:dyDescent="0.35">
      <c r="A172" t="s">
        <v>68</v>
      </c>
      <c r="B172" t="s">
        <v>86</v>
      </c>
      <c r="C172" t="s">
        <v>87</v>
      </c>
      <c r="D172">
        <v>7</v>
      </c>
      <c r="E172">
        <v>1</v>
      </c>
      <c r="F172">
        <v>7</v>
      </c>
      <c r="G172" t="s">
        <v>135</v>
      </c>
      <c r="H172" t="s">
        <v>152</v>
      </c>
      <c r="I172" s="36"/>
      <c r="J172" s="37"/>
      <c r="K172" s="37"/>
      <c r="L172" s="38"/>
    </row>
    <row r="173" spans="1:12" x14ac:dyDescent="0.35">
      <c r="A173" t="s">
        <v>98</v>
      </c>
      <c r="B173" t="s">
        <v>115</v>
      </c>
      <c r="C173" t="s">
        <v>97</v>
      </c>
      <c r="D173">
        <v>11</v>
      </c>
      <c r="E173">
        <v>12</v>
      </c>
      <c r="F173">
        <v>132</v>
      </c>
      <c r="G173" t="s">
        <v>135</v>
      </c>
      <c r="H173" t="s">
        <v>152</v>
      </c>
      <c r="I173" s="36"/>
      <c r="J173" s="37"/>
      <c r="K173" s="37"/>
      <c r="L173" s="38"/>
    </row>
    <row r="174" spans="1:12" x14ac:dyDescent="0.35">
      <c r="A174" t="s">
        <v>71</v>
      </c>
      <c r="B174" t="s">
        <v>120</v>
      </c>
      <c r="C174" t="s">
        <v>103</v>
      </c>
      <c r="D174">
        <v>3</v>
      </c>
      <c r="E174">
        <v>13</v>
      </c>
      <c r="F174">
        <v>39</v>
      </c>
      <c r="G174" t="s">
        <v>135</v>
      </c>
      <c r="H174" t="s">
        <v>152</v>
      </c>
      <c r="I174" s="36"/>
      <c r="J174" s="37"/>
      <c r="K174" s="37"/>
      <c r="L174" s="38"/>
    </row>
    <row r="175" spans="1:12" x14ac:dyDescent="0.35">
      <c r="A175" t="s">
        <v>119</v>
      </c>
      <c r="B175" t="s">
        <v>73</v>
      </c>
      <c r="C175" t="s">
        <v>74</v>
      </c>
      <c r="D175">
        <v>1</v>
      </c>
      <c r="E175">
        <v>1</v>
      </c>
      <c r="F175">
        <v>1</v>
      </c>
      <c r="G175" t="s">
        <v>135</v>
      </c>
      <c r="H175" t="s">
        <v>153</v>
      </c>
      <c r="I175" s="36"/>
      <c r="J175" s="37"/>
      <c r="K175" s="37"/>
      <c r="L175" s="38"/>
    </row>
    <row r="176" spans="1:12" x14ac:dyDescent="0.35">
      <c r="A176" t="s">
        <v>119</v>
      </c>
      <c r="B176" t="s">
        <v>89</v>
      </c>
      <c r="C176" t="s">
        <v>90</v>
      </c>
      <c r="D176">
        <v>10</v>
      </c>
      <c r="E176">
        <v>7</v>
      </c>
      <c r="F176">
        <v>70</v>
      </c>
      <c r="G176" t="s">
        <v>135</v>
      </c>
      <c r="H176" t="s">
        <v>152</v>
      </c>
      <c r="I176" s="36"/>
      <c r="J176" s="37"/>
      <c r="K176" s="37"/>
      <c r="L176" s="38"/>
    </row>
    <row r="177" spans="1:12" x14ac:dyDescent="0.35">
      <c r="A177" t="s">
        <v>122</v>
      </c>
      <c r="B177" t="s">
        <v>81</v>
      </c>
      <c r="C177" t="s">
        <v>82</v>
      </c>
      <c r="D177">
        <v>14</v>
      </c>
      <c r="E177">
        <v>5</v>
      </c>
      <c r="F177">
        <v>70</v>
      </c>
      <c r="G177" t="s">
        <v>137</v>
      </c>
      <c r="H177" t="s">
        <v>152</v>
      </c>
      <c r="I177" s="36"/>
      <c r="J177" s="37"/>
      <c r="K177" s="37"/>
      <c r="L177" s="38"/>
    </row>
    <row r="178" spans="1:12" x14ac:dyDescent="0.35">
      <c r="A178" t="s">
        <v>95</v>
      </c>
      <c r="B178" t="s">
        <v>102</v>
      </c>
      <c r="C178" t="s">
        <v>103</v>
      </c>
      <c r="D178">
        <v>4</v>
      </c>
      <c r="E178">
        <v>20</v>
      </c>
      <c r="F178">
        <v>80</v>
      </c>
      <c r="G178" t="s">
        <v>135</v>
      </c>
      <c r="H178" t="s">
        <v>153</v>
      </c>
      <c r="I178" s="36"/>
      <c r="J178" s="37"/>
      <c r="K178" s="37"/>
      <c r="L178" s="38"/>
    </row>
    <row r="179" spans="1:12" x14ac:dyDescent="0.35">
      <c r="A179" t="s">
        <v>111</v>
      </c>
      <c r="B179" t="s">
        <v>81</v>
      </c>
      <c r="C179" t="s">
        <v>82</v>
      </c>
      <c r="D179">
        <v>14</v>
      </c>
      <c r="E179">
        <v>5</v>
      </c>
      <c r="F179">
        <v>70</v>
      </c>
      <c r="G179" t="s">
        <v>137</v>
      </c>
      <c r="H179" t="s">
        <v>152</v>
      </c>
      <c r="I179" s="36"/>
      <c r="J179" s="37"/>
      <c r="K179" s="37"/>
      <c r="L179" s="38"/>
    </row>
    <row r="180" spans="1:12" x14ac:dyDescent="0.35">
      <c r="A180" t="s">
        <v>119</v>
      </c>
      <c r="B180" t="s">
        <v>69</v>
      </c>
      <c r="C180" t="s">
        <v>70</v>
      </c>
      <c r="D180">
        <v>500</v>
      </c>
      <c r="E180">
        <v>4</v>
      </c>
      <c r="F180">
        <v>2000</v>
      </c>
      <c r="G180" t="s">
        <v>136</v>
      </c>
      <c r="H180" t="s">
        <v>152</v>
      </c>
      <c r="I180" s="36"/>
      <c r="J180" s="37"/>
      <c r="K180" s="37"/>
      <c r="L180" s="38"/>
    </row>
    <row r="181" spans="1:12" x14ac:dyDescent="0.35">
      <c r="A181" t="s">
        <v>124</v>
      </c>
      <c r="B181" t="s">
        <v>109</v>
      </c>
      <c r="C181" t="s">
        <v>100</v>
      </c>
      <c r="D181">
        <v>1</v>
      </c>
      <c r="E181">
        <v>9</v>
      </c>
      <c r="F181">
        <v>9</v>
      </c>
      <c r="G181" t="s">
        <v>135</v>
      </c>
      <c r="H181" t="s">
        <v>153</v>
      </c>
      <c r="I181" s="36"/>
      <c r="J181" s="37"/>
      <c r="K181" s="37"/>
      <c r="L181" s="38"/>
    </row>
    <row r="182" spans="1:12" x14ac:dyDescent="0.35">
      <c r="A182" t="s">
        <v>108</v>
      </c>
      <c r="B182" t="s">
        <v>127</v>
      </c>
      <c r="C182" t="s">
        <v>128</v>
      </c>
      <c r="D182">
        <v>300</v>
      </c>
      <c r="E182">
        <v>1</v>
      </c>
      <c r="F182">
        <v>300</v>
      </c>
      <c r="G182" t="s">
        <v>138</v>
      </c>
      <c r="H182" t="s">
        <v>152</v>
      </c>
      <c r="I182" s="36"/>
      <c r="J182" s="37"/>
      <c r="K182" s="37"/>
      <c r="L182" s="38"/>
    </row>
    <row r="183" spans="1:12" x14ac:dyDescent="0.35">
      <c r="A183" t="s">
        <v>68</v>
      </c>
      <c r="B183" t="s">
        <v>129</v>
      </c>
      <c r="C183" t="s">
        <v>130</v>
      </c>
      <c r="D183">
        <v>150</v>
      </c>
      <c r="E183">
        <v>1</v>
      </c>
      <c r="F183">
        <v>150</v>
      </c>
      <c r="G183" t="s">
        <v>138</v>
      </c>
      <c r="H183" t="s">
        <v>152</v>
      </c>
      <c r="I183" s="36"/>
      <c r="J183" s="37"/>
      <c r="K183" s="37"/>
      <c r="L183" s="38"/>
    </row>
    <row r="184" spans="1:12" x14ac:dyDescent="0.35">
      <c r="A184" t="s">
        <v>111</v>
      </c>
      <c r="B184" t="s">
        <v>131</v>
      </c>
      <c r="C184" t="s">
        <v>132</v>
      </c>
      <c r="D184">
        <v>300</v>
      </c>
      <c r="E184">
        <v>1</v>
      </c>
      <c r="F184">
        <v>300</v>
      </c>
      <c r="G184" t="s">
        <v>138</v>
      </c>
      <c r="H184" t="s">
        <v>153</v>
      </c>
      <c r="I184" s="36"/>
      <c r="J184" s="37"/>
      <c r="K184" s="37"/>
      <c r="L184" s="38"/>
    </row>
    <row r="185" spans="1:12" x14ac:dyDescent="0.35">
      <c r="A185" t="s">
        <v>111</v>
      </c>
      <c r="B185" t="s">
        <v>133</v>
      </c>
      <c r="C185" t="s">
        <v>134</v>
      </c>
      <c r="D185">
        <v>99</v>
      </c>
      <c r="E185">
        <v>1</v>
      </c>
      <c r="F185">
        <v>99</v>
      </c>
      <c r="G185" t="s">
        <v>138</v>
      </c>
      <c r="H185" t="s">
        <v>153</v>
      </c>
      <c r="I185" s="36"/>
      <c r="J185" s="37"/>
      <c r="K185" s="37"/>
      <c r="L185" s="38"/>
    </row>
    <row r="186" spans="1:12" x14ac:dyDescent="0.35">
      <c r="A186" t="s">
        <v>91</v>
      </c>
      <c r="B186" t="s">
        <v>131</v>
      </c>
      <c r="C186" t="s">
        <v>132</v>
      </c>
      <c r="D186">
        <v>300</v>
      </c>
      <c r="E186">
        <v>1</v>
      </c>
      <c r="F186">
        <v>300</v>
      </c>
      <c r="G186" t="s">
        <v>138</v>
      </c>
      <c r="H186" t="s">
        <v>153</v>
      </c>
      <c r="I186" s="36"/>
      <c r="J186" s="37"/>
      <c r="K186" s="37"/>
      <c r="L186" s="38"/>
    </row>
    <row r="187" spans="1:12" x14ac:dyDescent="0.35">
      <c r="A187" t="s">
        <v>85</v>
      </c>
      <c r="B187" t="s">
        <v>131</v>
      </c>
      <c r="C187" t="s">
        <v>132</v>
      </c>
      <c r="D187">
        <v>300</v>
      </c>
      <c r="E187">
        <v>1</v>
      </c>
      <c r="F187">
        <v>300</v>
      </c>
      <c r="G187" t="s">
        <v>138</v>
      </c>
      <c r="H187" t="s">
        <v>153</v>
      </c>
      <c r="I187" s="36"/>
      <c r="J187" s="37"/>
      <c r="K187" s="37"/>
      <c r="L187" s="38"/>
    </row>
    <row r="188" spans="1:12" ht="15" thickBot="1" x14ac:dyDescent="0.4">
      <c r="A188" t="s">
        <v>125</v>
      </c>
      <c r="B188" t="s">
        <v>127</v>
      </c>
      <c r="C188" t="s">
        <v>128</v>
      </c>
      <c r="D188">
        <v>300</v>
      </c>
      <c r="E188">
        <v>1</v>
      </c>
      <c r="F188">
        <v>300</v>
      </c>
      <c r="G188" t="s">
        <v>138</v>
      </c>
      <c r="H188" t="s">
        <v>152</v>
      </c>
      <c r="I188" s="39"/>
      <c r="J188" s="40"/>
      <c r="K188" s="40"/>
      <c r="L188" s="41"/>
    </row>
  </sheetData>
  <autoFilter ref="A2:J2" xr:uid="{F20693C5-D75A-4EE1-873C-78B71AFB2802}"/>
  <mergeCells count="1">
    <mergeCell ref="A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083B-B60A-4AE0-9BB5-36E7FE64E557}">
  <dimension ref="A1:K1"/>
  <sheetViews>
    <sheetView workbookViewId="0">
      <selection sqref="A1:K1"/>
    </sheetView>
  </sheetViews>
  <sheetFormatPr baseColWidth="10" defaultRowHeight="14.5" x14ac:dyDescent="0.35"/>
  <sheetData>
    <row r="1" spans="1:11" ht="63" customHeight="1" x14ac:dyDescent="0.35">
      <c r="A1" s="30" t="s">
        <v>163</v>
      </c>
      <c r="B1" s="31"/>
      <c r="C1" s="31"/>
      <c r="D1" s="31"/>
      <c r="E1" s="31"/>
      <c r="F1" s="31"/>
      <c r="G1" s="31"/>
      <c r="H1" s="31"/>
      <c r="I1" s="31"/>
      <c r="J1" s="31"/>
      <c r="K1" s="31"/>
    </row>
  </sheetData>
  <mergeCells count="1">
    <mergeCell ref="A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83ECE-ACF7-47F5-AA39-D663EFF2CA54}">
  <dimension ref="A1:K24"/>
  <sheetViews>
    <sheetView tabSelected="1" workbookViewId="0">
      <selection activeCell="A2" sqref="A2"/>
    </sheetView>
  </sheetViews>
  <sheetFormatPr baseColWidth="10" defaultRowHeight="14.5" x14ac:dyDescent="0.35"/>
  <cols>
    <col min="2" max="2" width="7.36328125" bestFit="1" customWidth="1"/>
    <col min="3" max="3" width="14.90625" bestFit="1" customWidth="1"/>
    <col min="4" max="4" width="11.453125" bestFit="1" customWidth="1"/>
  </cols>
  <sheetData>
    <row r="1" spans="1:11" ht="74" customHeight="1" x14ac:dyDescent="0.35">
      <c r="A1" s="30" t="s">
        <v>182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3" spans="1:11" x14ac:dyDescent="0.35">
      <c r="A3" t="s">
        <v>168</v>
      </c>
      <c r="B3" t="s">
        <v>165</v>
      </c>
      <c r="C3" t="s">
        <v>166</v>
      </c>
      <c r="D3" t="s">
        <v>167</v>
      </c>
      <c r="E3" t="s">
        <v>170</v>
      </c>
    </row>
    <row r="4" spans="1:11" x14ac:dyDescent="0.35">
      <c r="A4" s="53">
        <f ca="1">TODAY()</f>
        <v>45851</v>
      </c>
      <c r="E4">
        <f>+C4*D4</f>
        <v>0</v>
      </c>
    </row>
    <row r="7" spans="1:11" x14ac:dyDescent="0.35">
      <c r="A7" t="s">
        <v>168</v>
      </c>
      <c r="B7" t="s">
        <v>165</v>
      </c>
      <c r="C7" t="s">
        <v>169</v>
      </c>
      <c r="D7" t="s">
        <v>167</v>
      </c>
      <c r="E7" t="s">
        <v>170</v>
      </c>
    </row>
    <row r="8" spans="1:11" x14ac:dyDescent="0.35">
      <c r="A8" s="53">
        <v>45847</v>
      </c>
      <c r="B8" t="s">
        <v>173</v>
      </c>
      <c r="C8">
        <v>2593</v>
      </c>
      <c r="D8">
        <v>75</v>
      </c>
      <c r="E8">
        <v>194475</v>
      </c>
    </row>
    <row r="9" spans="1:11" x14ac:dyDescent="0.35">
      <c r="A9" s="53">
        <v>45846</v>
      </c>
      <c r="B9" t="s">
        <v>180</v>
      </c>
      <c r="C9">
        <v>4194</v>
      </c>
      <c r="D9">
        <v>71</v>
      </c>
      <c r="E9">
        <v>297774</v>
      </c>
    </row>
    <row r="10" spans="1:11" x14ac:dyDescent="0.35">
      <c r="A10" s="53">
        <v>45842</v>
      </c>
      <c r="B10" t="s">
        <v>177</v>
      </c>
      <c r="C10">
        <v>4937</v>
      </c>
      <c r="D10">
        <v>89</v>
      </c>
      <c r="E10">
        <v>439393</v>
      </c>
    </row>
    <row r="11" spans="1:11" x14ac:dyDescent="0.35">
      <c r="A11" s="53">
        <v>45828</v>
      </c>
      <c r="B11" t="s">
        <v>175</v>
      </c>
      <c r="C11">
        <v>2245</v>
      </c>
      <c r="D11">
        <v>23</v>
      </c>
      <c r="E11">
        <v>51635</v>
      </c>
    </row>
    <row r="12" spans="1:11" x14ac:dyDescent="0.35">
      <c r="A12" s="53">
        <v>45821</v>
      </c>
      <c r="B12" t="s">
        <v>175</v>
      </c>
      <c r="C12">
        <v>2561</v>
      </c>
      <c r="D12">
        <v>90</v>
      </c>
      <c r="E12">
        <v>230490</v>
      </c>
    </row>
    <row r="13" spans="1:11" x14ac:dyDescent="0.35">
      <c r="A13" s="53">
        <v>45813</v>
      </c>
      <c r="B13" t="s">
        <v>171</v>
      </c>
      <c r="C13">
        <v>2585</v>
      </c>
      <c r="D13">
        <v>44</v>
      </c>
      <c r="E13">
        <v>113740</v>
      </c>
    </row>
    <row r="14" spans="1:11" x14ac:dyDescent="0.35">
      <c r="A14" s="53">
        <v>45803</v>
      </c>
      <c r="B14" t="s">
        <v>177</v>
      </c>
      <c r="C14">
        <v>3573</v>
      </c>
      <c r="D14">
        <v>75</v>
      </c>
      <c r="E14">
        <v>267975</v>
      </c>
    </row>
    <row r="15" spans="1:11" x14ac:dyDescent="0.35">
      <c r="A15" s="53">
        <v>45803</v>
      </c>
      <c r="B15" t="s">
        <v>181</v>
      </c>
      <c r="C15">
        <v>2843</v>
      </c>
      <c r="D15">
        <v>13</v>
      </c>
      <c r="E15">
        <v>36959</v>
      </c>
    </row>
    <row r="16" spans="1:11" x14ac:dyDescent="0.35">
      <c r="A16" s="53">
        <v>45800</v>
      </c>
      <c r="B16" t="s">
        <v>174</v>
      </c>
      <c r="C16">
        <v>4912</v>
      </c>
      <c r="D16">
        <v>14</v>
      </c>
      <c r="E16">
        <v>68768</v>
      </c>
    </row>
    <row r="17" spans="1:5" x14ac:dyDescent="0.35">
      <c r="A17" s="53">
        <v>45782</v>
      </c>
      <c r="B17" t="s">
        <v>179</v>
      </c>
      <c r="C17">
        <v>3010</v>
      </c>
      <c r="D17">
        <v>69</v>
      </c>
      <c r="E17">
        <v>207690</v>
      </c>
    </row>
    <row r="18" spans="1:5" x14ac:dyDescent="0.35">
      <c r="A18" s="53">
        <v>45777</v>
      </c>
      <c r="B18" t="s">
        <v>176</v>
      </c>
      <c r="C18">
        <v>4148</v>
      </c>
      <c r="D18">
        <v>12</v>
      </c>
      <c r="E18">
        <v>49776</v>
      </c>
    </row>
    <row r="19" spans="1:5" x14ac:dyDescent="0.35">
      <c r="A19" s="53">
        <v>45767</v>
      </c>
      <c r="B19" t="s">
        <v>177</v>
      </c>
      <c r="C19">
        <v>2485</v>
      </c>
      <c r="D19">
        <v>58</v>
      </c>
      <c r="E19">
        <v>144130</v>
      </c>
    </row>
    <row r="20" spans="1:5" x14ac:dyDescent="0.35">
      <c r="A20" s="53">
        <v>45764</v>
      </c>
      <c r="B20" t="s">
        <v>175</v>
      </c>
      <c r="C20">
        <v>4684</v>
      </c>
      <c r="D20">
        <v>31</v>
      </c>
      <c r="E20">
        <v>145204</v>
      </c>
    </row>
    <row r="21" spans="1:5" x14ac:dyDescent="0.35">
      <c r="A21" s="53">
        <v>45762</v>
      </c>
      <c r="B21" t="s">
        <v>178</v>
      </c>
      <c r="C21">
        <v>4961</v>
      </c>
      <c r="D21">
        <v>63</v>
      </c>
      <c r="E21">
        <v>312543</v>
      </c>
    </row>
    <row r="22" spans="1:5" x14ac:dyDescent="0.35">
      <c r="A22" s="53">
        <v>45761</v>
      </c>
      <c r="B22" t="s">
        <v>171</v>
      </c>
      <c r="C22">
        <v>3414</v>
      </c>
      <c r="D22">
        <v>31</v>
      </c>
      <c r="E22">
        <v>105834</v>
      </c>
    </row>
    <row r="23" spans="1:5" x14ac:dyDescent="0.35">
      <c r="A23" s="53">
        <v>45759</v>
      </c>
      <c r="B23" t="s">
        <v>176</v>
      </c>
      <c r="C23">
        <v>4455</v>
      </c>
      <c r="D23">
        <v>99</v>
      </c>
      <c r="E23">
        <v>441045</v>
      </c>
    </row>
    <row r="24" spans="1:5" x14ac:dyDescent="0.35">
      <c r="A24" s="53">
        <v>45757</v>
      </c>
      <c r="B24" t="s">
        <v>172</v>
      </c>
      <c r="C24">
        <v>4783</v>
      </c>
      <c r="D24">
        <v>24</v>
      </c>
      <c r="E24">
        <v>114792</v>
      </c>
    </row>
  </sheetData>
  <autoFilter ref="A7:E24" xr:uid="{9E483ECE-ACF7-47F5-AA39-D663EFF2CA54}">
    <sortState xmlns:xlrd2="http://schemas.microsoft.com/office/spreadsheetml/2017/richdata2" ref="A8:E24">
      <sortCondition descending="1" ref="A7:A24"/>
    </sortState>
  </autoFilter>
  <mergeCells count="1">
    <mergeCell ref="A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4599D-05C5-4F6A-9855-583DDFBA33BC}">
  <dimension ref="A1:Q22"/>
  <sheetViews>
    <sheetView workbookViewId="0">
      <selection activeCell="J25" sqref="J25"/>
    </sheetView>
  </sheetViews>
  <sheetFormatPr baseColWidth="10" defaultRowHeight="14.5" x14ac:dyDescent="0.35"/>
  <cols>
    <col min="12" max="12" width="9.90625" bestFit="1" customWidth="1"/>
    <col min="13" max="13" width="12.81640625" bestFit="1" customWidth="1"/>
    <col min="14" max="14" width="7.54296875" bestFit="1" customWidth="1"/>
    <col min="16" max="16" width="12.81640625" bestFit="1" customWidth="1"/>
    <col min="17" max="17" width="7.54296875" bestFit="1" customWidth="1"/>
  </cols>
  <sheetData>
    <row r="1" spans="1:17" x14ac:dyDescent="0.35">
      <c r="A1" s="21"/>
      <c r="B1" s="21"/>
      <c r="D1" s="20"/>
      <c r="E1" s="20"/>
      <c r="F1" s="20"/>
      <c r="G1" s="20"/>
      <c r="L1" s="20"/>
      <c r="M1" s="20"/>
      <c r="N1" s="20"/>
    </row>
    <row r="2" spans="1:17" ht="15" thickBot="1" x14ac:dyDescent="0.4">
      <c r="A2" s="8" t="s">
        <v>0</v>
      </c>
      <c r="B2" s="8" t="s">
        <v>1</v>
      </c>
      <c r="D2" s="7" t="s">
        <v>0</v>
      </c>
      <c r="E2" s="7" t="s">
        <v>2</v>
      </c>
      <c r="F2" s="7" t="s">
        <v>3</v>
      </c>
      <c r="G2" s="7" t="s">
        <v>4</v>
      </c>
      <c r="I2" s="9" t="s">
        <v>1</v>
      </c>
      <c r="J2" s="9" t="s">
        <v>5</v>
      </c>
      <c r="L2" s="6" t="s">
        <v>0</v>
      </c>
      <c r="M2" s="6" t="s">
        <v>6</v>
      </c>
      <c r="N2" s="6" t="s">
        <v>7</v>
      </c>
      <c r="P2" s="6" t="s">
        <v>6</v>
      </c>
      <c r="Q2" s="6" t="s">
        <v>7</v>
      </c>
    </row>
    <row r="3" spans="1:17" x14ac:dyDescent="0.35">
      <c r="A3" s="1" t="s">
        <v>8</v>
      </c>
      <c r="B3" s="2" t="s">
        <v>9</v>
      </c>
      <c r="D3" s="1" t="s">
        <v>10</v>
      </c>
      <c r="E3" s="1">
        <v>300</v>
      </c>
      <c r="F3" s="22" t="str">
        <f>VLOOKUP(E3,$P$10:$Q$19,2,0)</f>
        <v>Bajo</v>
      </c>
      <c r="G3" s="1" t="s">
        <v>11</v>
      </c>
      <c r="H3" s="3"/>
      <c r="I3" s="2" t="s">
        <v>12</v>
      </c>
      <c r="J3" s="1" t="s">
        <v>13</v>
      </c>
      <c r="L3" s="1" t="s">
        <v>8</v>
      </c>
      <c r="M3" s="2" t="s">
        <v>14</v>
      </c>
      <c r="N3" s="11">
        <f>VLOOKUP(M3,$P$3:$Q$6,2,0)</f>
        <v>100000</v>
      </c>
      <c r="P3" s="2" t="s">
        <v>14</v>
      </c>
      <c r="Q3" s="4">
        <v>100000</v>
      </c>
    </row>
    <row r="4" spans="1:17" x14ac:dyDescent="0.35">
      <c r="A4" s="1" t="s">
        <v>15</v>
      </c>
      <c r="B4" s="2" t="s">
        <v>16</v>
      </c>
      <c r="D4" s="1" t="s">
        <v>17</v>
      </c>
      <c r="E4" s="1">
        <v>900</v>
      </c>
      <c r="F4" s="23" t="str">
        <f>VLOOKUP(E4,$P$10:$Q$19,2,0)</f>
        <v>Alto</v>
      </c>
      <c r="G4" s="1" t="s">
        <v>11</v>
      </c>
      <c r="H4" s="3"/>
      <c r="I4" s="2" t="s">
        <v>18</v>
      </c>
      <c r="J4" s="1" t="s">
        <v>19</v>
      </c>
      <c r="L4" s="1" t="s">
        <v>15</v>
      </c>
      <c r="M4" s="2" t="s">
        <v>20</v>
      </c>
      <c r="N4" s="12">
        <f>VLOOKUP(M4,$P$3:$Q$6,2,0)</f>
        <v>50000</v>
      </c>
      <c r="P4" s="2" t="s">
        <v>20</v>
      </c>
      <c r="Q4" s="4">
        <v>50000</v>
      </c>
    </row>
    <row r="5" spans="1:17" x14ac:dyDescent="0.35">
      <c r="A5" s="1" t="s">
        <v>10</v>
      </c>
      <c r="B5" s="2" t="s">
        <v>21</v>
      </c>
      <c r="D5" s="1" t="s">
        <v>22</v>
      </c>
      <c r="E5" s="1">
        <v>600</v>
      </c>
      <c r="F5" s="23" t="str">
        <f>VLOOKUP(E5,$P$10:$Q$19,2,0)</f>
        <v>Medio</v>
      </c>
      <c r="G5" s="1" t="s">
        <v>23</v>
      </c>
      <c r="H5" s="3"/>
      <c r="I5" s="2" t="s">
        <v>24</v>
      </c>
      <c r="J5" s="1" t="s">
        <v>13</v>
      </c>
      <c r="L5" s="1" t="s">
        <v>10</v>
      </c>
      <c r="M5" s="2" t="s">
        <v>25</v>
      </c>
      <c r="N5" s="12">
        <f t="shared" ref="N4:N17" si="0">VLOOKUP(M5,$P$3:$Q$6,2,0)</f>
        <v>75000</v>
      </c>
      <c r="P5" s="2" t="s">
        <v>25</v>
      </c>
      <c r="Q5" s="4">
        <v>75000</v>
      </c>
    </row>
    <row r="6" spans="1:17" x14ac:dyDescent="0.35">
      <c r="A6" s="1" t="s">
        <v>26</v>
      </c>
      <c r="B6" s="2" t="s">
        <v>24</v>
      </c>
      <c r="D6" s="1" t="s">
        <v>26</v>
      </c>
      <c r="E6" s="1">
        <v>500</v>
      </c>
      <c r="F6" s="23" t="str">
        <f t="shared" ref="F4:F17" si="1">VLOOKUP(E6,$P$10:$Q$19,2,0)</f>
        <v>Medio</v>
      </c>
      <c r="G6" s="1" t="s">
        <v>27</v>
      </c>
      <c r="H6" s="3"/>
      <c r="I6" s="2" t="s">
        <v>28</v>
      </c>
      <c r="J6" s="1" t="s">
        <v>19</v>
      </c>
      <c r="L6" s="1" t="s">
        <v>26</v>
      </c>
      <c r="M6" s="2" t="s">
        <v>29</v>
      </c>
      <c r="N6" s="12">
        <f t="shared" si="0"/>
        <v>20000</v>
      </c>
      <c r="P6" s="2" t="s">
        <v>29</v>
      </c>
      <c r="Q6" s="4">
        <v>20000</v>
      </c>
    </row>
    <row r="7" spans="1:17" x14ac:dyDescent="0.35">
      <c r="A7" s="1" t="s">
        <v>30</v>
      </c>
      <c r="B7" s="2" t="s">
        <v>31</v>
      </c>
      <c r="D7" s="1" t="s">
        <v>32</v>
      </c>
      <c r="E7" s="1">
        <v>500</v>
      </c>
      <c r="F7" s="23" t="str">
        <f t="shared" si="1"/>
        <v>Medio</v>
      </c>
      <c r="G7" s="1" t="s">
        <v>27</v>
      </c>
      <c r="H7" s="3"/>
      <c r="I7" s="2" t="s">
        <v>33</v>
      </c>
      <c r="J7" s="1" t="s">
        <v>19</v>
      </c>
      <c r="L7" s="1" t="s">
        <v>30</v>
      </c>
      <c r="M7" s="2" t="s">
        <v>14</v>
      </c>
      <c r="N7" s="12">
        <f t="shared" si="0"/>
        <v>100000</v>
      </c>
    </row>
    <row r="8" spans="1:17" x14ac:dyDescent="0.35">
      <c r="A8" s="1" t="s">
        <v>34</v>
      </c>
      <c r="B8" s="2" t="s">
        <v>35</v>
      </c>
      <c r="D8" s="1" t="s">
        <v>30</v>
      </c>
      <c r="E8" s="1">
        <v>600</v>
      </c>
      <c r="F8" s="23" t="str">
        <f t="shared" si="1"/>
        <v>Medio</v>
      </c>
      <c r="G8" s="1" t="s">
        <v>36</v>
      </c>
      <c r="H8" s="3"/>
      <c r="I8" s="2" t="s">
        <v>37</v>
      </c>
      <c r="J8" s="1" t="s">
        <v>19</v>
      </c>
      <c r="L8" s="1" t="s">
        <v>34</v>
      </c>
      <c r="M8" s="2" t="s">
        <v>20</v>
      </c>
      <c r="N8" s="12">
        <f t="shared" si="0"/>
        <v>50000</v>
      </c>
    </row>
    <row r="9" spans="1:17" x14ac:dyDescent="0.35">
      <c r="A9" s="1" t="s">
        <v>38</v>
      </c>
      <c r="B9" s="2" t="s">
        <v>12</v>
      </c>
      <c r="D9" s="1" t="s">
        <v>39</v>
      </c>
      <c r="E9" s="1">
        <v>1000</v>
      </c>
      <c r="F9" s="23" t="str">
        <f t="shared" si="1"/>
        <v>Alto</v>
      </c>
      <c r="G9" s="1" t="s">
        <v>36</v>
      </c>
      <c r="H9" s="3"/>
      <c r="I9" s="2" t="s">
        <v>16</v>
      </c>
      <c r="J9" s="1" t="s">
        <v>13</v>
      </c>
      <c r="L9" s="1" t="s">
        <v>38</v>
      </c>
      <c r="M9" s="2" t="s">
        <v>14</v>
      </c>
      <c r="N9" s="12">
        <f t="shared" si="0"/>
        <v>100000</v>
      </c>
      <c r="P9" s="7" t="s">
        <v>40</v>
      </c>
      <c r="Q9" s="7" t="s">
        <v>3</v>
      </c>
    </row>
    <row r="10" spans="1:17" x14ac:dyDescent="0.35">
      <c r="A10" s="1" t="s">
        <v>39</v>
      </c>
      <c r="B10" s="2" t="s">
        <v>41</v>
      </c>
      <c r="D10" s="1" t="s">
        <v>8</v>
      </c>
      <c r="E10" s="1">
        <v>900</v>
      </c>
      <c r="F10" s="23" t="str">
        <f t="shared" si="1"/>
        <v>Alto</v>
      </c>
      <c r="G10" s="1" t="s">
        <v>42</v>
      </c>
      <c r="H10" s="3"/>
      <c r="I10" s="2" t="s">
        <v>21</v>
      </c>
      <c r="J10" s="1" t="s">
        <v>13</v>
      </c>
      <c r="L10" s="1" t="s">
        <v>39</v>
      </c>
      <c r="M10" s="2" t="s">
        <v>14</v>
      </c>
      <c r="N10" s="12">
        <f t="shared" si="0"/>
        <v>100000</v>
      </c>
      <c r="P10" s="2">
        <v>100</v>
      </c>
      <c r="Q10" s="4" t="s">
        <v>43</v>
      </c>
    </row>
    <row r="11" spans="1:17" x14ac:dyDescent="0.35">
      <c r="A11" s="1" t="s">
        <v>44</v>
      </c>
      <c r="B11" s="2" t="s">
        <v>18</v>
      </c>
      <c r="D11" s="1" t="s">
        <v>34</v>
      </c>
      <c r="E11" s="1">
        <v>800</v>
      </c>
      <c r="F11" s="23" t="str">
        <f t="shared" si="1"/>
        <v>Alto</v>
      </c>
      <c r="G11" s="1" t="s">
        <v>42</v>
      </c>
      <c r="H11" s="3"/>
      <c r="I11" s="2" t="s">
        <v>35</v>
      </c>
      <c r="J11" s="1" t="s">
        <v>13</v>
      </c>
      <c r="L11" s="1" t="s">
        <v>44</v>
      </c>
      <c r="M11" s="2" t="s">
        <v>25</v>
      </c>
      <c r="N11" s="12">
        <f t="shared" si="0"/>
        <v>75000</v>
      </c>
      <c r="P11" s="2">
        <v>200</v>
      </c>
      <c r="Q11" s="4" t="s">
        <v>43</v>
      </c>
    </row>
    <row r="12" spans="1:17" x14ac:dyDescent="0.35">
      <c r="A12" s="1" t="s">
        <v>17</v>
      </c>
      <c r="B12" s="2" t="s">
        <v>45</v>
      </c>
      <c r="D12" s="1" t="s">
        <v>44</v>
      </c>
      <c r="E12" s="1">
        <v>700</v>
      </c>
      <c r="F12" s="23" t="str">
        <f t="shared" si="1"/>
        <v>Medio</v>
      </c>
      <c r="G12" s="1" t="s">
        <v>42</v>
      </c>
      <c r="H12" s="3"/>
      <c r="I12" s="2" t="s">
        <v>9</v>
      </c>
      <c r="J12" s="1" t="s">
        <v>13</v>
      </c>
      <c r="L12" s="1" t="s">
        <v>17</v>
      </c>
      <c r="M12" s="2" t="s">
        <v>29</v>
      </c>
      <c r="N12" s="12">
        <f t="shared" si="0"/>
        <v>20000</v>
      </c>
      <c r="P12" s="2">
        <v>300</v>
      </c>
      <c r="Q12" s="4" t="s">
        <v>43</v>
      </c>
    </row>
    <row r="13" spans="1:17" x14ac:dyDescent="0.35">
      <c r="A13" s="1" t="s">
        <v>46</v>
      </c>
      <c r="B13" s="2" t="s">
        <v>47</v>
      </c>
      <c r="D13" s="1" t="s">
        <v>48</v>
      </c>
      <c r="E13" s="1">
        <v>100</v>
      </c>
      <c r="F13" s="23" t="str">
        <f t="shared" si="1"/>
        <v>Bajo</v>
      </c>
      <c r="G13" s="1" t="s">
        <v>42</v>
      </c>
      <c r="H13" s="3"/>
      <c r="I13" s="2" t="s">
        <v>45</v>
      </c>
      <c r="J13" s="1" t="s">
        <v>19</v>
      </c>
      <c r="L13" s="1" t="s">
        <v>46</v>
      </c>
      <c r="M13" s="2" t="s">
        <v>29</v>
      </c>
      <c r="N13" s="12">
        <f t="shared" si="0"/>
        <v>20000</v>
      </c>
      <c r="P13" s="2">
        <v>400</v>
      </c>
      <c r="Q13" s="4" t="s">
        <v>49</v>
      </c>
    </row>
    <row r="14" spans="1:17" x14ac:dyDescent="0.35">
      <c r="A14" s="1" t="s">
        <v>22</v>
      </c>
      <c r="B14" s="2" t="s">
        <v>33</v>
      </c>
      <c r="D14" s="1" t="s">
        <v>15</v>
      </c>
      <c r="E14" s="1">
        <v>100</v>
      </c>
      <c r="F14" s="23" t="str">
        <f t="shared" si="1"/>
        <v>Bajo</v>
      </c>
      <c r="G14" s="1" t="s">
        <v>50</v>
      </c>
      <c r="H14" s="3"/>
      <c r="I14" s="2" t="s">
        <v>41</v>
      </c>
      <c r="J14" s="1" t="s">
        <v>13</v>
      </c>
      <c r="L14" s="1" t="s">
        <v>22</v>
      </c>
      <c r="M14" s="2" t="s">
        <v>25</v>
      </c>
      <c r="N14" s="12">
        <f t="shared" si="0"/>
        <v>75000</v>
      </c>
      <c r="P14" s="2">
        <v>500</v>
      </c>
      <c r="Q14" s="4" t="s">
        <v>49</v>
      </c>
    </row>
    <row r="15" spans="1:17" x14ac:dyDescent="0.35">
      <c r="A15" s="1" t="s">
        <v>48</v>
      </c>
      <c r="B15" s="2" t="s">
        <v>37</v>
      </c>
      <c r="D15" s="1" t="s">
        <v>38</v>
      </c>
      <c r="E15" s="1">
        <v>800</v>
      </c>
      <c r="F15" s="23" t="str">
        <f t="shared" si="1"/>
        <v>Alto</v>
      </c>
      <c r="G15" s="1" t="s">
        <v>50</v>
      </c>
      <c r="H15" s="3"/>
      <c r="I15" s="2" t="s">
        <v>47</v>
      </c>
      <c r="J15" s="1" t="s">
        <v>19</v>
      </c>
      <c r="L15" s="1" t="s">
        <v>48</v>
      </c>
      <c r="M15" s="2" t="s">
        <v>20</v>
      </c>
      <c r="N15" s="12">
        <f t="shared" si="0"/>
        <v>50000</v>
      </c>
      <c r="P15" s="2">
        <v>600</v>
      </c>
      <c r="Q15" s="4" t="s">
        <v>49</v>
      </c>
    </row>
    <row r="16" spans="1:17" x14ac:dyDescent="0.35">
      <c r="A16" s="1" t="s">
        <v>32</v>
      </c>
      <c r="B16" s="2" t="s">
        <v>51</v>
      </c>
      <c r="D16" s="1" t="s">
        <v>46</v>
      </c>
      <c r="E16" s="1">
        <v>700</v>
      </c>
      <c r="F16" s="23" t="str">
        <f t="shared" si="1"/>
        <v>Medio</v>
      </c>
      <c r="G16" s="1" t="s">
        <v>50</v>
      </c>
      <c r="H16" s="3"/>
      <c r="I16" s="2" t="s">
        <v>51</v>
      </c>
      <c r="J16" s="1" t="s">
        <v>19</v>
      </c>
      <c r="L16" s="1" t="s">
        <v>32</v>
      </c>
      <c r="M16" s="2" t="s">
        <v>20</v>
      </c>
      <c r="N16" s="12">
        <f t="shared" si="0"/>
        <v>50000</v>
      </c>
      <c r="P16" s="2">
        <v>700</v>
      </c>
      <c r="Q16" s="4" t="s">
        <v>49</v>
      </c>
    </row>
    <row r="17" spans="1:17" ht="15" thickBot="1" x14ac:dyDescent="0.4">
      <c r="A17" s="1" t="s">
        <v>52</v>
      </c>
      <c r="B17" s="2" t="s">
        <v>28</v>
      </c>
      <c r="D17" s="1" t="s">
        <v>52</v>
      </c>
      <c r="E17" s="1">
        <v>700</v>
      </c>
      <c r="F17" s="24" t="str">
        <f t="shared" si="1"/>
        <v>Medio</v>
      </c>
      <c r="G17" s="1" t="s">
        <v>50</v>
      </c>
      <c r="H17" s="3"/>
      <c r="I17" s="2" t="s">
        <v>31</v>
      </c>
      <c r="J17" s="1" t="s">
        <v>13</v>
      </c>
      <c r="L17" s="1" t="s">
        <v>52</v>
      </c>
      <c r="M17" s="2" t="s">
        <v>14</v>
      </c>
      <c r="N17" s="13">
        <f t="shared" si="0"/>
        <v>100000</v>
      </c>
      <c r="P17" s="2">
        <v>800</v>
      </c>
      <c r="Q17" s="4" t="s">
        <v>53</v>
      </c>
    </row>
    <row r="18" spans="1:17" x14ac:dyDescent="0.35">
      <c r="C18" s="20"/>
      <c r="D18" s="20"/>
      <c r="E18" s="20"/>
      <c r="F18" s="20"/>
      <c r="G18" s="20"/>
      <c r="H18" s="20"/>
      <c r="I18" s="20"/>
      <c r="P18" s="2">
        <v>900</v>
      </c>
      <c r="Q18" s="4" t="s">
        <v>53</v>
      </c>
    </row>
    <row r="19" spans="1:17" x14ac:dyDescent="0.35">
      <c r="C19" s="20"/>
      <c r="D19" s="20"/>
      <c r="E19" s="20"/>
      <c r="F19" s="20"/>
      <c r="G19" s="20"/>
      <c r="H19" s="20"/>
      <c r="I19" s="20"/>
      <c r="P19" s="2">
        <v>1000</v>
      </c>
      <c r="Q19" s="4" t="s">
        <v>53</v>
      </c>
    </row>
    <row r="20" spans="1:17" ht="15" thickBot="1" x14ac:dyDescent="0.4">
      <c r="C20" s="10" t="s">
        <v>0</v>
      </c>
      <c r="D20" s="8" t="s">
        <v>1</v>
      </c>
      <c r="E20" s="7" t="s">
        <v>40</v>
      </c>
      <c r="F20" s="7" t="s">
        <v>3</v>
      </c>
      <c r="G20" s="7" t="s">
        <v>4</v>
      </c>
      <c r="H20" s="9" t="s">
        <v>5</v>
      </c>
      <c r="I20" s="6" t="s">
        <v>7</v>
      </c>
    </row>
    <row r="21" spans="1:17" x14ac:dyDescent="0.35">
      <c r="C21" s="5" t="s">
        <v>15</v>
      </c>
      <c r="D21" s="14" t="str">
        <f>VLOOKUP(C21,A3:B17,2,FALSE)</f>
        <v>Gafas</v>
      </c>
      <c r="E21" s="15">
        <f>VLOOKUP(C21,D3:G17,2,FALSE)</f>
        <v>100</v>
      </c>
      <c r="F21" s="15" t="str">
        <f>VLOOKUP(C21,D3:G17,3,FALSE)</f>
        <v>Bajo</v>
      </c>
      <c r="G21" s="15" t="str">
        <f>VLOOKUP(C21,D3:G17,4,FALSE)</f>
        <v>Verde</v>
      </c>
      <c r="H21" s="15" t="str">
        <f>VLOOKUP(D21,I3:J17,2,FALSE)</f>
        <v>Ropajes S.L.</v>
      </c>
      <c r="I21" s="16">
        <f>VLOOKUP(C21,L3:N17,3,FALSE)</f>
        <v>50000</v>
      </c>
    </row>
    <row r="22" spans="1:17" ht="15" thickBot="1" x14ac:dyDescent="0.4">
      <c r="C22" s="5" t="s">
        <v>22</v>
      </c>
      <c r="D22" s="17" t="str">
        <f>VLOOKUP(C22,A3:B17,2,FALSE)</f>
        <v>Chaqueta</v>
      </c>
      <c r="E22" s="18">
        <f>VLOOKUP(C22,D3:G17,2,FALSE)</f>
        <v>600</v>
      </c>
      <c r="F22" s="18" t="str">
        <f>VLOOKUP(C22,D3:G17,3,FALSE)</f>
        <v>Medio</v>
      </c>
      <c r="G22" s="18" t="str">
        <f>VLOOKUP(C22,D3:G17,4,FALSE)</f>
        <v>Azúl</v>
      </c>
      <c r="H22" s="18" t="str">
        <f>VLOOKUP(D22,I3:J17,2,FALSE)</f>
        <v>Ateliere S.A.</v>
      </c>
      <c r="I22" s="19">
        <f>VLOOKUP(C22,L3:N17,3,FALSE)</f>
        <v>75000</v>
      </c>
    </row>
  </sheetData>
  <mergeCells count="4">
    <mergeCell ref="A1:B1"/>
    <mergeCell ref="D1:G1"/>
    <mergeCell ref="L1:N1"/>
    <mergeCell ref="C18:I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224B7-B4E1-4422-AD4D-5B88231FCB9D}">
  <dimension ref="A2:U188"/>
  <sheetViews>
    <sheetView workbookViewId="0">
      <selection activeCell="G5" sqref="G5"/>
    </sheetView>
  </sheetViews>
  <sheetFormatPr baseColWidth="10" defaultRowHeight="14.5" x14ac:dyDescent="0.35"/>
  <cols>
    <col min="1" max="1" width="15.54296875" bestFit="1" customWidth="1"/>
    <col min="2" max="2" width="13.1796875" bestFit="1" customWidth="1"/>
    <col min="3" max="3" width="10.453125" bestFit="1" customWidth="1"/>
    <col min="4" max="4" width="8.26953125" bestFit="1" customWidth="1"/>
    <col min="5" max="5" width="10.08984375" bestFit="1" customWidth="1"/>
    <col min="6" max="6" width="12.36328125" bestFit="1" customWidth="1"/>
    <col min="7" max="7" width="16.453125" bestFit="1" customWidth="1"/>
    <col min="8" max="8" width="17.26953125" bestFit="1" customWidth="1"/>
    <col min="9" max="9" width="10.6328125" bestFit="1" customWidth="1"/>
    <col min="10" max="10" width="25.08984375" bestFit="1" customWidth="1"/>
    <col min="11" max="11" width="16.90625" bestFit="1" customWidth="1"/>
    <col min="13" max="13" width="10.90625" style="42"/>
  </cols>
  <sheetData>
    <row r="2" spans="1:21" ht="15" thickBot="1" x14ac:dyDescent="0.4">
      <c r="A2" s="25" t="s">
        <v>58</v>
      </c>
      <c r="B2" s="25" t="s">
        <v>59</v>
      </c>
      <c r="C2" s="25" t="s">
        <v>1</v>
      </c>
      <c r="D2" s="25" t="s">
        <v>60</v>
      </c>
      <c r="E2" s="25" t="s">
        <v>61</v>
      </c>
      <c r="F2" s="25" t="s">
        <v>62</v>
      </c>
      <c r="G2" s="25" t="s">
        <v>63</v>
      </c>
      <c r="H2" s="25" t="s">
        <v>151</v>
      </c>
      <c r="I2" s="26" t="s">
        <v>148</v>
      </c>
      <c r="J2" s="29" t="s">
        <v>149</v>
      </c>
      <c r="K2" s="29" t="s">
        <v>150</v>
      </c>
      <c r="L2" s="29" t="s">
        <v>155</v>
      </c>
      <c r="M2" s="43"/>
      <c r="Q2" t="s">
        <v>147</v>
      </c>
      <c r="R2" t="s">
        <v>135</v>
      </c>
      <c r="S2" t="s">
        <v>137</v>
      </c>
      <c r="T2" t="s">
        <v>136</v>
      </c>
      <c r="U2" t="s">
        <v>138</v>
      </c>
    </row>
    <row r="3" spans="1:21" x14ac:dyDescent="0.35">
      <c r="A3" t="s">
        <v>65</v>
      </c>
      <c r="B3" t="s">
        <v>66</v>
      </c>
      <c r="C3" t="s">
        <v>67</v>
      </c>
      <c r="D3">
        <v>8</v>
      </c>
      <c r="E3">
        <v>14</v>
      </c>
      <c r="F3">
        <v>112</v>
      </c>
      <c r="G3" t="s">
        <v>135</v>
      </c>
      <c r="H3" t="s">
        <v>153</v>
      </c>
      <c r="I3" s="33" t="str">
        <f>VLOOKUP(A3,N:O,2,0)</f>
        <v>Oriente</v>
      </c>
      <c r="J3" s="34">
        <f>VLOOKUP(I3,$Q$2:$U$11,HLOOKUP(G3,$R$2:$U$3,2,0),0)</f>
        <v>7.0000000000000007E-2</v>
      </c>
      <c r="K3" s="34">
        <f>IF(H3="No aplica impuestos",0,J3*F3)</f>
        <v>0</v>
      </c>
      <c r="L3" s="44">
        <f>K3</f>
        <v>0</v>
      </c>
      <c r="N3" s="26" t="s">
        <v>58</v>
      </c>
      <c r="O3" s="26" t="s">
        <v>148</v>
      </c>
      <c r="Q3" t="s">
        <v>148</v>
      </c>
      <c r="R3">
        <v>2</v>
      </c>
      <c r="S3">
        <v>3</v>
      </c>
      <c r="T3">
        <v>4</v>
      </c>
      <c r="U3">
        <v>5</v>
      </c>
    </row>
    <row r="4" spans="1:21" x14ac:dyDescent="0.35">
      <c r="A4" t="s">
        <v>68</v>
      </c>
      <c r="B4" t="s">
        <v>69</v>
      </c>
      <c r="C4" t="s">
        <v>70</v>
      </c>
      <c r="D4">
        <v>500</v>
      </c>
      <c r="E4">
        <v>4</v>
      </c>
      <c r="F4">
        <v>2000</v>
      </c>
      <c r="G4" t="s">
        <v>136</v>
      </c>
      <c r="H4" t="s">
        <v>152</v>
      </c>
      <c r="I4" s="36" t="str">
        <f>VLOOKUP(A4,N:O,2,0)</f>
        <v>Noroeste</v>
      </c>
      <c r="J4" s="37">
        <f>VLOOKUP(I4,$Q$2:$U$11,HLOOKUP(G4,$R$2:$U$3,2,0),0)</f>
        <v>0.13</v>
      </c>
      <c r="K4" s="37">
        <f t="shared" ref="K4:K67" si="0">IF(H4="No aplica impuestos",0,J4*F4)</f>
        <v>260</v>
      </c>
      <c r="L4" s="45">
        <f t="shared" ref="L4:L67" si="1">K4</f>
        <v>260</v>
      </c>
      <c r="N4" t="s">
        <v>98</v>
      </c>
      <c r="O4" t="s">
        <v>143</v>
      </c>
      <c r="Q4" t="s">
        <v>143</v>
      </c>
      <c r="R4" s="27">
        <v>7.0000000000000007E-2</v>
      </c>
      <c r="S4" s="27">
        <v>0.09</v>
      </c>
      <c r="T4" s="27">
        <v>0.12</v>
      </c>
      <c r="U4" s="28">
        <v>0.1</v>
      </c>
    </row>
    <row r="5" spans="1:21" x14ac:dyDescent="0.35">
      <c r="A5" t="s">
        <v>71</v>
      </c>
      <c r="B5" t="s">
        <v>66</v>
      </c>
      <c r="C5" t="s">
        <v>67</v>
      </c>
      <c r="D5">
        <v>8</v>
      </c>
      <c r="E5">
        <v>10</v>
      </c>
      <c r="F5">
        <v>80</v>
      </c>
      <c r="G5" t="s">
        <v>135</v>
      </c>
      <c r="H5" t="s">
        <v>153</v>
      </c>
      <c r="I5" s="36" t="str">
        <f>VLOOKUP(A5,N:O,2,0)</f>
        <v>Noroeste</v>
      </c>
      <c r="J5" s="37">
        <f t="shared" ref="J5:J68" si="2">VLOOKUP(I5,$Q$2:$U$11,HLOOKUP(G5,$R$2:$U$3,2,0),0)</f>
        <v>0.05</v>
      </c>
      <c r="K5" s="37">
        <f t="shared" si="0"/>
        <v>0</v>
      </c>
      <c r="L5" s="45">
        <f t="shared" si="1"/>
        <v>0</v>
      </c>
      <c r="N5" t="s">
        <v>68</v>
      </c>
      <c r="O5" t="s">
        <v>139</v>
      </c>
      <c r="Q5" t="s">
        <v>139</v>
      </c>
      <c r="R5" s="27">
        <v>0.05</v>
      </c>
      <c r="S5" s="27">
        <v>0.1</v>
      </c>
      <c r="T5" s="27">
        <v>0.13</v>
      </c>
      <c r="U5" s="28">
        <v>0.08</v>
      </c>
    </row>
    <row r="6" spans="1:21" x14ac:dyDescent="0.35">
      <c r="A6" t="s">
        <v>72</v>
      </c>
      <c r="B6" t="s">
        <v>73</v>
      </c>
      <c r="C6" t="s">
        <v>74</v>
      </c>
      <c r="D6">
        <v>1</v>
      </c>
      <c r="E6">
        <v>20</v>
      </c>
      <c r="F6">
        <v>20</v>
      </c>
      <c r="G6" t="s">
        <v>135</v>
      </c>
      <c r="H6" t="s">
        <v>152</v>
      </c>
      <c r="I6" s="36" t="str">
        <f>VLOOKUP(A6,N:O,2,0)</f>
        <v>Centronorte</v>
      </c>
      <c r="J6" s="37">
        <f t="shared" si="2"/>
        <v>7.0000000000000007E-2</v>
      </c>
      <c r="K6" s="37">
        <f t="shared" si="0"/>
        <v>1.4000000000000001</v>
      </c>
      <c r="L6" s="45">
        <f t="shared" si="1"/>
        <v>1.4000000000000001</v>
      </c>
      <c r="N6" t="s">
        <v>106</v>
      </c>
      <c r="O6" t="s">
        <v>146</v>
      </c>
      <c r="Q6" t="s">
        <v>146</v>
      </c>
      <c r="R6" s="27">
        <v>7.0000000000000007E-2</v>
      </c>
      <c r="S6" s="27">
        <v>7.0000000000000007E-2</v>
      </c>
      <c r="T6" s="27">
        <v>0.11</v>
      </c>
      <c r="U6" s="28">
        <v>0.08</v>
      </c>
    </row>
    <row r="7" spans="1:21" x14ac:dyDescent="0.35">
      <c r="A7" t="s">
        <v>68</v>
      </c>
      <c r="B7" t="s">
        <v>75</v>
      </c>
      <c r="C7" t="s">
        <v>76</v>
      </c>
      <c r="D7">
        <v>4</v>
      </c>
      <c r="E7">
        <v>17</v>
      </c>
      <c r="F7">
        <v>68</v>
      </c>
      <c r="G7" t="s">
        <v>135</v>
      </c>
      <c r="H7" t="s">
        <v>153</v>
      </c>
      <c r="I7" s="36" t="str">
        <f>VLOOKUP(A7,N:O,2,0)</f>
        <v>Noroeste</v>
      </c>
      <c r="J7" s="37">
        <f t="shared" si="2"/>
        <v>0.05</v>
      </c>
      <c r="K7" s="37">
        <f t="shared" si="0"/>
        <v>0</v>
      </c>
      <c r="L7" s="45">
        <f t="shared" si="1"/>
        <v>0</v>
      </c>
      <c r="N7" t="s">
        <v>114</v>
      </c>
      <c r="O7" t="s">
        <v>145</v>
      </c>
      <c r="Q7" t="s">
        <v>145</v>
      </c>
      <c r="R7" s="27">
        <v>0.11</v>
      </c>
      <c r="S7" s="27">
        <v>0.13</v>
      </c>
      <c r="T7" s="27">
        <v>0.05</v>
      </c>
      <c r="U7" s="28">
        <v>0.13</v>
      </c>
    </row>
    <row r="8" spans="1:21" x14ac:dyDescent="0.35">
      <c r="A8" t="s">
        <v>77</v>
      </c>
      <c r="B8" t="s">
        <v>78</v>
      </c>
      <c r="C8" t="s">
        <v>79</v>
      </c>
      <c r="D8">
        <v>5</v>
      </c>
      <c r="E8">
        <v>16</v>
      </c>
      <c r="F8">
        <v>80</v>
      </c>
      <c r="G8" t="s">
        <v>135</v>
      </c>
      <c r="H8" t="s">
        <v>152</v>
      </c>
      <c r="I8" s="36" t="str">
        <f>VLOOKUP(A8,N:O,2,0)</f>
        <v>Noreste</v>
      </c>
      <c r="J8" s="37">
        <f t="shared" si="2"/>
        <v>0.08</v>
      </c>
      <c r="K8" s="37">
        <f t="shared" si="0"/>
        <v>6.4</v>
      </c>
      <c r="L8" s="45">
        <f t="shared" si="1"/>
        <v>6.4</v>
      </c>
      <c r="N8" t="s">
        <v>71</v>
      </c>
      <c r="O8" t="s">
        <v>139</v>
      </c>
      <c r="Q8" t="s">
        <v>140</v>
      </c>
      <c r="R8" s="27">
        <v>0.08</v>
      </c>
      <c r="S8" s="27">
        <v>0.14000000000000001</v>
      </c>
      <c r="T8" s="27">
        <v>0.1</v>
      </c>
      <c r="U8" s="28">
        <v>0.05</v>
      </c>
    </row>
    <row r="9" spans="1:21" x14ac:dyDescent="0.35">
      <c r="A9" t="s">
        <v>80</v>
      </c>
      <c r="B9" t="s">
        <v>81</v>
      </c>
      <c r="C9" t="s">
        <v>82</v>
      </c>
      <c r="D9">
        <v>14</v>
      </c>
      <c r="E9">
        <v>15</v>
      </c>
      <c r="F9">
        <v>210</v>
      </c>
      <c r="G9" t="s">
        <v>137</v>
      </c>
      <c r="H9" t="s">
        <v>152</v>
      </c>
      <c r="I9" s="36" t="str">
        <f>VLOOKUP(A9,N:O,2,0)</f>
        <v>Centro Sur</v>
      </c>
      <c r="J9" s="37">
        <f t="shared" si="2"/>
        <v>0.1</v>
      </c>
      <c r="K9" s="37">
        <f t="shared" si="0"/>
        <v>21</v>
      </c>
      <c r="L9" s="45">
        <f t="shared" si="1"/>
        <v>21</v>
      </c>
      <c r="N9" t="s">
        <v>123</v>
      </c>
      <c r="O9" t="s">
        <v>140</v>
      </c>
      <c r="Q9" t="s">
        <v>141</v>
      </c>
      <c r="R9" s="27">
        <v>0.11</v>
      </c>
      <c r="S9" s="27">
        <v>0.04</v>
      </c>
      <c r="T9" s="27">
        <v>0.14000000000000001</v>
      </c>
      <c r="U9" s="28">
        <v>0.11</v>
      </c>
    </row>
    <row r="10" spans="1:21" x14ac:dyDescent="0.35">
      <c r="A10" t="s">
        <v>83</v>
      </c>
      <c r="B10" t="s">
        <v>84</v>
      </c>
      <c r="C10" t="s">
        <v>82</v>
      </c>
      <c r="D10">
        <v>20</v>
      </c>
      <c r="E10">
        <v>10</v>
      </c>
      <c r="F10">
        <v>200</v>
      </c>
      <c r="G10" t="s">
        <v>137</v>
      </c>
      <c r="H10" t="s">
        <v>152</v>
      </c>
      <c r="I10" s="36" t="str">
        <f>VLOOKUP(A10,N:O,2,0)</f>
        <v>Centronorte</v>
      </c>
      <c r="J10" s="37">
        <f t="shared" si="2"/>
        <v>0.09</v>
      </c>
      <c r="K10" s="37">
        <f t="shared" si="0"/>
        <v>18</v>
      </c>
      <c r="L10" s="45">
        <f t="shared" si="1"/>
        <v>18</v>
      </c>
      <c r="N10" t="s">
        <v>108</v>
      </c>
      <c r="O10" t="s">
        <v>141</v>
      </c>
      <c r="Q10" t="s">
        <v>142</v>
      </c>
      <c r="R10" s="27">
        <v>7.0000000000000007E-2</v>
      </c>
      <c r="S10" s="27">
        <v>0.1</v>
      </c>
      <c r="T10" s="27">
        <v>0.05</v>
      </c>
      <c r="U10" s="28">
        <v>7.0000000000000007E-2</v>
      </c>
    </row>
    <row r="11" spans="1:21" x14ac:dyDescent="0.35">
      <c r="A11" t="s">
        <v>68</v>
      </c>
      <c r="B11" t="s">
        <v>81</v>
      </c>
      <c r="C11" t="s">
        <v>82</v>
      </c>
      <c r="D11">
        <v>14</v>
      </c>
      <c r="E11">
        <v>7</v>
      </c>
      <c r="F11">
        <v>98</v>
      </c>
      <c r="G11" t="s">
        <v>137</v>
      </c>
      <c r="H11" t="s">
        <v>153</v>
      </c>
      <c r="I11" s="36" t="str">
        <f>VLOOKUP(A11,N:O,2,0)</f>
        <v>Noroeste</v>
      </c>
      <c r="J11" s="37">
        <f t="shared" si="2"/>
        <v>0.1</v>
      </c>
      <c r="K11" s="37">
        <f t="shared" si="0"/>
        <v>0</v>
      </c>
      <c r="L11" s="45">
        <f t="shared" si="1"/>
        <v>0</v>
      </c>
      <c r="N11" t="s">
        <v>125</v>
      </c>
      <c r="O11" t="s">
        <v>139</v>
      </c>
      <c r="Q11" t="s">
        <v>144</v>
      </c>
      <c r="R11" s="27">
        <v>0.13</v>
      </c>
      <c r="S11" s="27">
        <v>0.1</v>
      </c>
      <c r="T11" s="27">
        <v>0.04</v>
      </c>
      <c r="U11" s="28">
        <v>0.14000000000000001</v>
      </c>
    </row>
    <row r="12" spans="1:21" x14ac:dyDescent="0.35">
      <c r="A12" t="s">
        <v>85</v>
      </c>
      <c r="B12" t="s">
        <v>86</v>
      </c>
      <c r="C12" t="s">
        <v>87</v>
      </c>
      <c r="D12">
        <v>7</v>
      </c>
      <c r="E12">
        <v>18</v>
      </c>
      <c r="F12">
        <v>126</v>
      </c>
      <c r="G12" t="s">
        <v>135</v>
      </c>
      <c r="H12" t="s">
        <v>152</v>
      </c>
      <c r="I12" s="36" t="str">
        <f>VLOOKUP(A12,N:O,2,0)</f>
        <v>Oriente</v>
      </c>
      <c r="J12" s="37">
        <f t="shared" si="2"/>
        <v>7.0000000000000007E-2</v>
      </c>
      <c r="K12" s="37">
        <f t="shared" si="0"/>
        <v>8.82</v>
      </c>
      <c r="L12" s="45">
        <f t="shared" si="1"/>
        <v>8.82</v>
      </c>
      <c r="N12" t="s">
        <v>83</v>
      </c>
      <c r="O12" t="s">
        <v>143</v>
      </c>
    </row>
    <row r="13" spans="1:21" x14ac:dyDescent="0.35">
      <c r="A13" t="s">
        <v>88</v>
      </c>
      <c r="B13" t="s">
        <v>89</v>
      </c>
      <c r="C13" t="s">
        <v>90</v>
      </c>
      <c r="D13">
        <v>10</v>
      </c>
      <c r="E13">
        <v>9</v>
      </c>
      <c r="F13">
        <v>90</v>
      </c>
      <c r="G13" t="s">
        <v>135</v>
      </c>
      <c r="H13" t="s">
        <v>152</v>
      </c>
      <c r="I13" s="36" t="str">
        <f>VLOOKUP(A13,N:O,2,0)</f>
        <v>Centronorte</v>
      </c>
      <c r="J13" s="37">
        <f t="shared" si="2"/>
        <v>7.0000000000000007E-2</v>
      </c>
      <c r="K13" s="37">
        <f t="shared" si="0"/>
        <v>6.3000000000000007</v>
      </c>
      <c r="L13" s="45">
        <f t="shared" si="1"/>
        <v>6.3000000000000007</v>
      </c>
      <c r="N13" t="s">
        <v>65</v>
      </c>
      <c r="O13" t="s">
        <v>142</v>
      </c>
    </row>
    <row r="14" spans="1:21" x14ac:dyDescent="0.35">
      <c r="A14" t="s">
        <v>91</v>
      </c>
      <c r="B14" t="s">
        <v>92</v>
      </c>
      <c r="C14" t="s">
        <v>93</v>
      </c>
      <c r="D14">
        <v>7</v>
      </c>
      <c r="E14">
        <v>12</v>
      </c>
      <c r="F14">
        <v>84</v>
      </c>
      <c r="G14" t="s">
        <v>135</v>
      </c>
      <c r="H14" t="s">
        <v>153</v>
      </c>
      <c r="I14" s="36" t="str">
        <f>VLOOKUP(A14,N:O,2,0)</f>
        <v>Occidente</v>
      </c>
      <c r="J14" s="37">
        <f t="shared" si="2"/>
        <v>0.11</v>
      </c>
      <c r="K14" s="37">
        <f t="shared" si="0"/>
        <v>0</v>
      </c>
      <c r="L14" s="45">
        <f t="shared" si="1"/>
        <v>0</v>
      </c>
      <c r="N14" t="s">
        <v>119</v>
      </c>
      <c r="O14" t="s">
        <v>141</v>
      </c>
    </row>
    <row r="15" spans="1:21" x14ac:dyDescent="0.35">
      <c r="A15" t="s">
        <v>94</v>
      </c>
      <c r="B15" t="s">
        <v>92</v>
      </c>
      <c r="C15" t="s">
        <v>93</v>
      </c>
      <c r="D15">
        <v>7</v>
      </c>
      <c r="E15">
        <v>15</v>
      </c>
      <c r="F15">
        <v>105</v>
      </c>
      <c r="G15" t="s">
        <v>135</v>
      </c>
      <c r="H15" t="s">
        <v>153</v>
      </c>
      <c r="I15" s="36" t="str">
        <f>VLOOKUP(A15,N:O,2,0)</f>
        <v>Noreste</v>
      </c>
      <c r="J15" s="37">
        <f t="shared" si="2"/>
        <v>0.08</v>
      </c>
      <c r="K15" s="37">
        <f t="shared" si="0"/>
        <v>0</v>
      </c>
      <c r="L15" s="45">
        <f t="shared" si="1"/>
        <v>0</v>
      </c>
      <c r="N15" t="s">
        <v>91</v>
      </c>
      <c r="O15" t="s">
        <v>141</v>
      </c>
    </row>
    <row r="16" spans="1:21" x14ac:dyDescent="0.35">
      <c r="A16" t="s">
        <v>88</v>
      </c>
      <c r="B16" t="s">
        <v>81</v>
      </c>
      <c r="C16" t="s">
        <v>82</v>
      </c>
      <c r="D16">
        <v>14</v>
      </c>
      <c r="E16">
        <v>20</v>
      </c>
      <c r="F16">
        <v>280</v>
      </c>
      <c r="G16" t="s">
        <v>137</v>
      </c>
      <c r="H16" t="s">
        <v>152</v>
      </c>
      <c r="I16" s="36" t="str">
        <f>VLOOKUP(A16,N:O,2,0)</f>
        <v>Centronorte</v>
      </c>
      <c r="J16" s="37">
        <f t="shared" si="2"/>
        <v>0.09</v>
      </c>
      <c r="K16" s="37">
        <f t="shared" si="0"/>
        <v>25.2</v>
      </c>
      <c r="L16" s="45">
        <f t="shared" si="1"/>
        <v>25.2</v>
      </c>
      <c r="N16" t="s">
        <v>80</v>
      </c>
      <c r="O16" t="s">
        <v>144</v>
      </c>
    </row>
    <row r="17" spans="1:15" x14ac:dyDescent="0.35">
      <c r="A17" t="s">
        <v>95</v>
      </c>
      <c r="B17" t="s">
        <v>96</v>
      </c>
      <c r="C17" t="s">
        <v>97</v>
      </c>
      <c r="D17">
        <v>19</v>
      </c>
      <c r="E17">
        <v>11</v>
      </c>
      <c r="F17">
        <v>209</v>
      </c>
      <c r="G17" t="s">
        <v>137</v>
      </c>
      <c r="H17" t="s">
        <v>152</v>
      </c>
      <c r="I17" s="36" t="str">
        <f>VLOOKUP(A17,N:O,2,0)</f>
        <v>SurEste</v>
      </c>
      <c r="J17" s="37">
        <f t="shared" si="2"/>
        <v>7.0000000000000007E-2</v>
      </c>
      <c r="K17" s="37">
        <f t="shared" si="0"/>
        <v>14.63</v>
      </c>
      <c r="L17" s="45">
        <f t="shared" si="1"/>
        <v>14.63</v>
      </c>
      <c r="N17" t="s">
        <v>111</v>
      </c>
      <c r="O17" t="s">
        <v>141</v>
      </c>
    </row>
    <row r="18" spans="1:15" x14ac:dyDescent="0.35">
      <c r="A18" t="s">
        <v>98</v>
      </c>
      <c r="B18" t="s">
        <v>99</v>
      </c>
      <c r="C18" t="s">
        <v>100</v>
      </c>
      <c r="D18">
        <v>9</v>
      </c>
      <c r="E18">
        <v>15</v>
      </c>
      <c r="F18">
        <v>135</v>
      </c>
      <c r="G18" t="s">
        <v>135</v>
      </c>
      <c r="H18" t="s">
        <v>152</v>
      </c>
      <c r="I18" s="36" t="str">
        <f>VLOOKUP(A18,N:O,2,0)</f>
        <v>Centronorte</v>
      </c>
      <c r="J18" s="37">
        <f t="shared" si="2"/>
        <v>7.0000000000000007E-2</v>
      </c>
      <c r="K18" s="37">
        <f t="shared" si="0"/>
        <v>9.4500000000000011</v>
      </c>
      <c r="L18" s="45">
        <f t="shared" si="1"/>
        <v>9.4500000000000011</v>
      </c>
      <c r="N18" t="s">
        <v>94</v>
      </c>
      <c r="O18" t="s">
        <v>140</v>
      </c>
    </row>
    <row r="19" spans="1:15" x14ac:dyDescent="0.35">
      <c r="A19" t="s">
        <v>101</v>
      </c>
      <c r="B19" t="s">
        <v>66</v>
      </c>
      <c r="C19" t="s">
        <v>67</v>
      </c>
      <c r="D19">
        <v>8</v>
      </c>
      <c r="E19">
        <v>3</v>
      </c>
      <c r="F19">
        <v>24</v>
      </c>
      <c r="G19" t="s">
        <v>135</v>
      </c>
      <c r="H19" t="s">
        <v>153</v>
      </c>
      <c r="I19" s="36" t="str">
        <f>VLOOKUP(A19,N:O,2,0)</f>
        <v>SurEste</v>
      </c>
      <c r="J19" s="37">
        <f t="shared" si="2"/>
        <v>7.0000000000000007E-2</v>
      </c>
      <c r="K19" s="37">
        <f t="shared" si="0"/>
        <v>0</v>
      </c>
      <c r="L19" s="45">
        <f t="shared" si="1"/>
        <v>0</v>
      </c>
      <c r="N19" t="s">
        <v>124</v>
      </c>
      <c r="O19" t="s">
        <v>145</v>
      </c>
    </row>
    <row r="20" spans="1:15" x14ac:dyDescent="0.35">
      <c r="A20" t="s">
        <v>98</v>
      </c>
      <c r="B20" t="s">
        <v>102</v>
      </c>
      <c r="C20" t="s">
        <v>103</v>
      </c>
      <c r="D20">
        <v>4</v>
      </c>
      <c r="E20">
        <v>7</v>
      </c>
      <c r="F20">
        <v>28</v>
      </c>
      <c r="G20" t="s">
        <v>135</v>
      </c>
      <c r="H20" t="s">
        <v>153</v>
      </c>
      <c r="I20" s="36" t="str">
        <f>VLOOKUP(A20,N:O,2,0)</f>
        <v>Centronorte</v>
      </c>
      <c r="J20" s="37">
        <f t="shared" si="2"/>
        <v>7.0000000000000007E-2</v>
      </c>
      <c r="K20" s="37">
        <f t="shared" si="0"/>
        <v>0</v>
      </c>
      <c r="L20" s="45">
        <f t="shared" si="1"/>
        <v>0</v>
      </c>
      <c r="N20" t="s">
        <v>85</v>
      </c>
      <c r="O20" t="s">
        <v>142</v>
      </c>
    </row>
    <row r="21" spans="1:15" x14ac:dyDescent="0.35">
      <c r="A21" t="s">
        <v>104</v>
      </c>
      <c r="B21" t="s">
        <v>105</v>
      </c>
      <c r="C21" t="s">
        <v>97</v>
      </c>
      <c r="D21">
        <v>19</v>
      </c>
      <c r="E21">
        <v>15</v>
      </c>
      <c r="F21">
        <v>285</v>
      </c>
      <c r="G21" t="s">
        <v>137</v>
      </c>
      <c r="H21" t="s">
        <v>153</v>
      </c>
      <c r="I21" s="36" t="str">
        <f>VLOOKUP(A21,N:O,2,0)</f>
        <v>SurEste</v>
      </c>
      <c r="J21" s="37">
        <f t="shared" si="2"/>
        <v>7.0000000000000007E-2</v>
      </c>
      <c r="K21" s="37">
        <f t="shared" si="0"/>
        <v>0</v>
      </c>
      <c r="L21" s="45">
        <f t="shared" si="1"/>
        <v>0</v>
      </c>
      <c r="N21" t="s">
        <v>88</v>
      </c>
      <c r="O21" t="s">
        <v>143</v>
      </c>
    </row>
    <row r="22" spans="1:15" x14ac:dyDescent="0.35">
      <c r="A22" t="s">
        <v>106</v>
      </c>
      <c r="B22" t="s">
        <v>107</v>
      </c>
      <c r="C22" t="s">
        <v>100</v>
      </c>
      <c r="D22">
        <v>5</v>
      </c>
      <c r="E22">
        <v>4</v>
      </c>
      <c r="F22">
        <v>20</v>
      </c>
      <c r="G22" t="s">
        <v>135</v>
      </c>
      <c r="H22" t="s">
        <v>153</v>
      </c>
      <c r="I22" s="36" t="str">
        <f>VLOOKUP(A22,N:O,2,0)</f>
        <v>SurEste</v>
      </c>
      <c r="J22" s="37">
        <f t="shared" si="2"/>
        <v>7.0000000000000007E-2</v>
      </c>
      <c r="K22" s="37">
        <f t="shared" si="0"/>
        <v>0</v>
      </c>
      <c r="L22" s="45">
        <f t="shared" si="1"/>
        <v>0</v>
      </c>
      <c r="N22" t="s">
        <v>104</v>
      </c>
      <c r="O22" t="s">
        <v>146</v>
      </c>
    </row>
    <row r="23" spans="1:15" x14ac:dyDescent="0.35">
      <c r="A23" t="s">
        <v>108</v>
      </c>
      <c r="B23" t="s">
        <v>109</v>
      </c>
      <c r="C23" t="s">
        <v>100</v>
      </c>
      <c r="D23">
        <v>1</v>
      </c>
      <c r="E23">
        <v>3</v>
      </c>
      <c r="F23">
        <v>3</v>
      </c>
      <c r="G23" t="s">
        <v>135</v>
      </c>
      <c r="H23" t="s">
        <v>152</v>
      </c>
      <c r="I23" s="36" t="str">
        <f>VLOOKUP(A23,N:O,2,0)</f>
        <v>Occidente</v>
      </c>
      <c r="J23" s="37">
        <f t="shared" si="2"/>
        <v>0.11</v>
      </c>
      <c r="K23" s="37">
        <f t="shared" si="0"/>
        <v>0.33</v>
      </c>
      <c r="L23" s="45">
        <f t="shared" si="1"/>
        <v>0.33</v>
      </c>
      <c r="N23" t="s">
        <v>72</v>
      </c>
      <c r="O23" t="s">
        <v>143</v>
      </c>
    </row>
    <row r="24" spans="1:15" x14ac:dyDescent="0.35">
      <c r="A24" t="s">
        <v>110</v>
      </c>
      <c r="B24" t="s">
        <v>81</v>
      </c>
      <c r="C24" t="s">
        <v>82</v>
      </c>
      <c r="D24">
        <v>14</v>
      </c>
      <c r="E24">
        <v>17</v>
      </c>
      <c r="F24">
        <v>238</v>
      </c>
      <c r="G24" t="s">
        <v>137</v>
      </c>
      <c r="H24" t="s">
        <v>153</v>
      </c>
      <c r="I24" s="36" t="str">
        <f>VLOOKUP(A24,N:O,2,0)</f>
        <v>Noroeste</v>
      </c>
      <c r="J24" s="37">
        <f t="shared" si="2"/>
        <v>0.1</v>
      </c>
      <c r="K24" s="37">
        <f t="shared" si="0"/>
        <v>0</v>
      </c>
      <c r="L24" s="45">
        <f t="shared" si="1"/>
        <v>0</v>
      </c>
      <c r="N24" t="s">
        <v>110</v>
      </c>
      <c r="O24" t="s">
        <v>139</v>
      </c>
    </row>
    <row r="25" spans="1:15" x14ac:dyDescent="0.35">
      <c r="A25" t="s">
        <v>91</v>
      </c>
      <c r="B25" t="s">
        <v>89</v>
      </c>
      <c r="C25" t="s">
        <v>90</v>
      </c>
      <c r="D25">
        <v>10</v>
      </c>
      <c r="E25">
        <v>5</v>
      </c>
      <c r="F25">
        <v>50</v>
      </c>
      <c r="G25" t="s">
        <v>135</v>
      </c>
      <c r="H25" t="s">
        <v>153</v>
      </c>
      <c r="I25" s="36" t="str">
        <f>VLOOKUP(A25,N:O,2,0)</f>
        <v>Occidente</v>
      </c>
      <c r="J25" s="37">
        <f t="shared" si="2"/>
        <v>0.11</v>
      </c>
      <c r="K25" s="37">
        <f t="shared" si="0"/>
        <v>0</v>
      </c>
      <c r="L25" s="45">
        <f t="shared" si="1"/>
        <v>0</v>
      </c>
      <c r="N25" t="s">
        <v>122</v>
      </c>
      <c r="O25" t="s">
        <v>139</v>
      </c>
    </row>
    <row r="26" spans="1:15" x14ac:dyDescent="0.35">
      <c r="A26" t="s">
        <v>65</v>
      </c>
      <c r="B26" t="s">
        <v>102</v>
      </c>
      <c r="C26" t="s">
        <v>103</v>
      </c>
      <c r="D26">
        <v>4</v>
      </c>
      <c r="E26">
        <v>19</v>
      </c>
      <c r="F26">
        <v>76</v>
      </c>
      <c r="G26" t="s">
        <v>135</v>
      </c>
      <c r="H26" t="s">
        <v>153</v>
      </c>
      <c r="I26" s="36" t="str">
        <f>VLOOKUP(A26,N:O,2,0)</f>
        <v>Oriente</v>
      </c>
      <c r="J26" s="37">
        <f t="shared" si="2"/>
        <v>7.0000000000000007E-2</v>
      </c>
      <c r="K26" s="37">
        <f t="shared" si="0"/>
        <v>0</v>
      </c>
      <c r="L26" s="45">
        <f t="shared" si="1"/>
        <v>0</v>
      </c>
      <c r="N26" t="s">
        <v>95</v>
      </c>
      <c r="O26" t="s">
        <v>146</v>
      </c>
    </row>
    <row r="27" spans="1:15" x14ac:dyDescent="0.35">
      <c r="A27" t="s">
        <v>77</v>
      </c>
      <c r="B27" t="s">
        <v>89</v>
      </c>
      <c r="C27" t="s">
        <v>90</v>
      </c>
      <c r="D27">
        <v>10</v>
      </c>
      <c r="E27">
        <v>10</v>
      </c>
      <c r="F27">
        <v>100</v>
      </c>
      <c r="G27" t="s">
        <v>135</v>
      </c>
      <c r="H27" t="s">
        <v>153</v>
      </c>
      <c r="I27" s="36" t="str">
        <f>VLOOKUP(A27,N:O,2,0)</f>
        <v>Noreste</v>
      </c>
      <c r="J27" s="37">
        <f t="shared" si="2"/>
        <v>0.08</v>
      </c>
      <c r="K27" s="37">
        <f t="shared" si="0"/>
        <v>0</v>
      </c>
      <c r="L27" s="45">
        <f t="shared" si="1"/>
        <v>0</v>
      </c>
      <c r="N27" t="s">
        <v>77</v>
      </c>
      <c r="O27" t="s">
        <v>140</v>
      </c>
    </row>
    <row r="28" spans="1:15" x14ac:dyDescent="0.35">
      <c r="A28" t="s">
        <v>68</v>
      </c>
      <c r="B28" t="s">
        <v>102</v>
      </c>
      <c r="C28" t="s">
        <v>103</v>
      </c>
      <c r="D28">
        <v>4</v>
      </c>
      <c r="E28">
        <v>14</v>
      </c>
      <c r="F28">
        <v>56</v>
      </c>
      <c r="G28" t="s">
        <v>135</v>
      </c>
      <c r="H28" t="s">
        <v>152</v>
      </c>
      <c r="I28" s="36" t="str">
        <f>VLOOKUP(A28,N:O,2,0)</f>
        <v>Noroeste</v>
      </c>
      <c r="J28" s="37">
        <f t="shared" si="2"/>
        <v>0.05</v>
      </c>
      <c r="K28" s="37">
        <f t="shared" si="0"/>
        <v>2.8000000000000003</v>
      </c>
      <c r="L28" s="45">
        <f t="shared" si="1"/>
        <v>2.8000000000000003</v>
      </c>
      <c r="N28" t="s">
        <v>116</v>
      </c>
      <c r="O28" t="s">
        <v>142</v>
      </c>
    </row>
    <row r="29" spans="1:15" x14ac:dyDescent="0.35">
      <c r="A29" t="s">
        <v>111</v>
      </c>
      <c r="B29" t="s">
        <v>109</v>
      </c>
      <c r="C29" t="s">
        <v>100</v>
      </c>
      <c r="D29">
        <v>1</v>
      </c>
      <c r="E29">
        <v>4</v>
      </c>
      <c r="F29">
        <v>4</v>
      </c>
      <c r="G29" t="s">
        <v>135</v>
      </c>
      <c r="H29" t="s">
        <v>152</v>
      </c>
      <c r="I29" s="36" t="str">
        <f>VLOOKUP(A29,N:O,2,0)</f>
        <v>Occidente</v>
      </c>
      <c r="J29" s="37">
        <f t="shared" si="2"/>
        <v>0.11</v>
      </c>
      <c r="K29" s="37">
        <f t="shared" si="0"/>
        <v>0.44</v>
      </c>
      <c r="L29" s="45">
        <f t="shared" si="1"/>
        <v>0.44</v>
      </c>
      <c r="N29" t="s">
        <v>121</v>
      </c>
      <c r="O29" t="s">
        <v>142</v>
      </c>
    </row>
    <row r="30" spans="1:15" x14ac:dyDescent="0.35">
      <c r="A30" t="s">
        <v>77</v>
      </c>
      <c r="B30" t="s">
        <v>107</v>
      </c>
      <c r="C30" t="s">
        <v>100</v>
      </c>
      <c r="D30">
        <v>5</v>
      </c>
      <c r="E30">
        <v>17</v>
      </c>
      <c r="F30">
        <v>85</v>
      </c>
      <c r="G30" t="s">
        <v>135</v>
      </c>
      <c r="H30" t="s">
        <v>152</v>
      </c>
      <c r="I30" s="36" t="str">
        <f>VLOOKUP(A30,N:O,2,0)</f>
        <v>Noreste</v>
      </c>
      <c r="J30" s="37">
        <f t="shared" si="2"/>
        <v>0.08</v>
      </c>
      <c r="K30" s="37">
        <f t="shared" si="0"/>
        <v>6.8</v>
      </c>
      <c r="L30" s="45">
        <f t="shared" si="1"/>
        <v>6.8</v>
      </c>
      <c r="N30" t="s">
        <v>101</v>
      </c>
      <c r="O30" t="s">
        <v>146</v>
      </c>
    </row>
    <row r="31" spans="1:15" x14ac:dyDescent="0.35">
      <c r="A31" t="s">
        <v>112</v>
      </c>
      <c r="B31" t="s">
        <v>113</v>
      </c>
      <c r="C31" t="s">
        <v>90</v>
      </c>
      <c r="D31">
        <v>8</v>
      </c>
      <c r="E31">
        <v>18</v>
      </c>
      <c r="F31">
        <v>144</v>
      </c>
      <c r="G31" t="s">
        <v>135</v>
      </c>
      <c r="H31" t="s">
        <v>152</v>
      </c>
      <c r="I31" s="36" t="str">
        <f>VLOOKUP(A31,N:O,2,0)</f>
        <v>Centronorte</v>
      </c>
      <c r="J31" s="37">
        <f t="shared" si="2"/>
        <v>7.0000000000000007E-2</v>
      </c>
      <c r="K31" s="37">
        <f t="shared" si="0"/>
        <v>10.080000000000002</v>
      </c>
      <c r="L31" s="45">
        <f t="shared" si="1"/>
        <v>10.080000000000002</v>
      </c>
      <c r="N31" t="s">
        <v>112</v>
      </c>
      <c r="O31" t="s">
        <v>143</v>
      </c>
    </row>
    <row r="32" spans="1:15" x14ac:dyDescent="0.35">
      <c r="A32" t="s">
        <v>114</v>
      </c>
      <c r="B32" t="s">
        <v>99</v>
      </c>
      <c r="C32" t="s">
        <v>100</v>
      </c>
      <c r="D32">
        <v>9</v>
      </c>
      <c r="E32">
        <v>19</v>
      </c>
      <c r="F32">
        <v>171</v>
      </c>
      <c r="G32" t="s">
        <v>135</v>
      </c>
      <c r="H32" t="s">
        <v>152</v>
      </c>
      <c r="I32" s="36" t="str">
        <f>VLOOKUP(A32,N:O,2,0)</f>
        <v>SurOeste</v>
      </c>
      <c r="J32" s="37">
        <f t="shared" si="2"/>
        <v>0.11</v>
      </c>
      <c r="K32" s="37">
        <f t="shared" si="0"/>
        <v>18.809999999999999</v>
      </c>
      <c r="L32" s="45">
        <f t="shared" si="1"/>
        <v>18.809999999999999</v>
      </c>
    </row>
    <row r="33" spans="1:12" x14ac:dyDescent="0.35">
      <c r="A33" t="s">
        <v>101</v>
      </c>
      <c r="B33" t="s">
        <v>89</v>
      </c>
      <c r="C33" t="s">
        <v>90</v>
      </c>
      <c r="D33">
        <v>10</v>
      </c>
      <c r="E33">
        <v>13</v>
      </c>
      <c r="F33">
        <v>130</v>
      </c>
      <c r="G33" t="s">
        <v>135</v>
      </c>
      <c r="H33" t="s">
        <v>152</v>
      </c>
      <c r="I33" s="36" t="str">
        <f>VLOOKUP(A33,N:O,2,0)</f>
        <v>SurEste</v>
      </c>
      <c r="J33" s="37">
        <f t="shared" si="2"/>
        <v>7.0000000000000007E-2</v>
      </c>
      <c r="K33" s="37">
        <f t="shared" si="0"/>
        <v>9.1000000000000014</v>
      </c>
      <c r="L33" s="45">
        <f t="shared" si="1"/>
        <v>9.1000000000000014</v>
      </c>
    </row>
    <row r="34" spans="1:12" x14ac:dyDescent="0.35">
      <c r="A34" t="s">
        <v>71</v>
      </c>
      <c r="B34" t="s">
        <v>92</v>
      </c>
      <c r="C34" t="s">
        <v>93</v>
      </c>
      <c r="D34">
        <v>7</v>
      </c>
      <c r="E34">
        <v>5</v>
      </c>
      <c r="F34">
        <v>35</v>
      </c>
      <c r="G34" t="s">
        <v>135</v>
      </c>
      <c r="H34" t="s">
        <v>152</v>
      </c>
      <c r="I34" s="36" t="str">
        <f>VLOOKUP(A34,N:O,2,0)</f>
        <v>Noroeste</v>
      </c>
      <c r="J34" s="37">
        <f t="shared" si="2"/>
        <v>0.05</v>
      </c>
      <c r="K34" s="37">
        <f t="shared" si="0"/>
        <v>1.75</v>
      </c>
      <c r="L34" s="45">
        <f t="shared" si="1"/>
        <v>1.75</v>
      </c>
    </row>
    <row r="35" spans="1:12" x14ac:dyDescent="0.35">
      <c r="A35" t="s">
        <v>98</v>
      </c>
      <c r="B35" t="s">
        <v>105</v>
      </c>
      <c r="C35" t="s">
        <v>97</v>
      </c>
      <c r="D35">
        <v>19</v>
      </c>
      <c r="E35">
        <v>18</v>
      </c>
      <c r="F35">
        <v>342</v>
      </c>
      <c r="G35" t="s">
        <v>137</v>
      </c>
      <c r="H35" t="s">
        <v>152</v>
      </c>
      <c r="I35" s="36" t="str">
        <f>VLOOKUP(A35,N:O,2,0)</f>
        <v>Centronorte</v>
      </c>
      <c r="J35" s="37">
        <f t="shared" si="2"/>
        <v>0.09</v>
      </c>
      <c r="K35" s="37">
        <f t="shared" si="0"/>
        <v>30.779999999999998</v>
      </c>
      <c r="L35" s="45">
        <f t="shared" si="1"/>
        <v>30.779999999999998</v>
      </c>
    </row>
    <row r="36" spans="1:12" x14ac:dyDescent="0.35">
      <c r="A36" t="s">
        <v>72</v>
      </c>
      <c r="B36" t="s">
        <v>115</v>
      </c>
      <c r="C36" t="s">
        <v>97</v>
      </c>
      <c r="D36">
        <v>11</v>
      </c>
      <c r="E36">
        <v>8</v>
      </c>
      <c r="F36">
        <v>88</v>
      </c>
      <c r="G36" t="s">
        <v>135</v>
      </c>
      <c r="H36" t="s">
        <v>153</v>
      </c>
      <c r="I36" s="36" t="str">
        <f>VLOOKUP(A36,N:O,2,0)</f>
        <v>Centronorte</v>
      </c>
      <c r="J36" s="37">
        <f t="shared" si="2"/>
        <v>7.0000000000000007E-2</v>
      </c>
      <c r="K36" s="37">
        <f t="shared" si="0"/>
        <v>0</v>
      </c>
      <c r="L36" s="45">
        <f t="shared" si="1"/>
        <v>0</v>
      </c>
    </row>
    <row r="37" spans="1:12" x14ac:dyDescent="0.35">
      <c r="A37" t="s">
        <v>112</v>
      </c>
      <c r="B37" t="s">
        <v>113</v>
      </c>
      <c r="C37" t="s">
        <v>90</v>
      </c>
      <c r="D37">
        <v>8</v>
      </c>
      <c r="E37">
        <v>4</v>
      </c>
      <c r="F37">
        <v>32</v>
      </c>
      <c r="G37" t="s">
        <v>135</v>
      </c>
      <c r="H37" t="s">
        <v>153</v>
      </c>
      <c r="I37" s="36" t="str">
        <f>VLOOKUP(A37,N:O,2,0)</f>
        <v>Centronorte</v>
      </c>
      <c r="J37" s="37">
        <f t="shared" si="2"/>
        <v>7.0000000000000007E-2</v>
      </c>
      <c r="K37" s="37">
        <f t="shared" si="0"/>
        <v>0</v>
      </c>
      <c r="L37" s="45">
        <f t="shared" si="1"/>
        <v>0</v>
      </c>
    </row>
    <row r="38" spans="1:12" x14ac:dyDescent="0.35">
      <c r="A38" t="s">
        <v>65</v>
      </c>
      <c r="B38" t="s">
        <v>78</v>
      </c>
      <c r="C38" t="s">
        <v>79</v>
      </c>
      <c r="D38">
        <v>5</v>
      </c>
      <c r="E38">
        <v>15</v>
      </c>
      <c r="F38">
        <v>75</v>
      </c>
      <c r="G38" t="s">
        <v>135</v>
      </c>
      <c r="H38" t="s">
        <v>152</v>
      </c>
      <c r="I38" s="36" t="str">
        <f>VLOOKUP(A38,N:O,2,0)</f>
        <v>Oriente</v>
      </c>
      <c r="J38" s="37">
        <f t="shared" si="2"/>
        <v>7.0000000000000007E-2</v>
      </c>
      <c r="K38" s="37">
        <f t="shared" si="0"/>
        <v>5.2500000000000009</v>
      </c>
      <c r="L38" s="45">
        <f t="shared" si="1"/>
        <v>5.2500000000000009</v>
      </c>
    </row>
    <row r="39" spans="1:12" x14ac:dyDescent="0.35">
      <c r="A39" t="s">
        <v>106</v>
      </c>
      <c r="B39" t="s">
        <v>81</v>
      </c>
      <c r="C39" t="s">
        <v>82</v>
      </c>
      <c r="D39">
        <v>14</v>
      </c>
      <c r="E39">
        <v>15</v>
      </c>
      <c r="F39">
        <v>210</v>
      </c>
      <c r="G39" t="s">
        <v>137</v>
      </c>
      <c r="H39" t="s">
        <v>153</v>
      </c>
      <c r="I39" s="36" t="str">
        <f>VLOOKUP(A39,N:O,2,0)</f>
        <v>SurEste</v>
      </c>
      <c r="J39" s="37">
        <f t="shared" si="2"/>
        <v>7.0000000000000007E-2</v>
      </c>
      <c r="K39" s="37">
        <f t="shared" si="0"/>
        <v>0</v>
      </c>
      <c r="L39" s="45">
        <f t="shared" si="1"/>
        <v>0</v>
      </c>
    </row>
    <row r="40" spans="1:12" x14ac:dyDescent="0.35">
      <c r="A40" t="s">
        <v>104</v>
      </c>
      <c r="B40" t="s">
        <v>81</v>
      </c>
      <c r="C40" t="s">
        <v>82</v>
      </c>
      <c r="D40">
        <v>14</v>
      </c>
      <c r="E40">
        <v>5</v>
      </c>
      <c r="F40">
        <v>70</v>
      </c>
      <c r="G40" t="s">
        <v>137</v>
      </c>
      <c r="H40" t="s">
        <v>153</v>
      </c>
      <c r="I40" s="36" t="str">
        <f>VLOOKUP(A40,N:O,2,0)</f>
        <v>SurEste</v>
      </c>
      <c r="J40" s="37">
        <f t="shared" si="2"/>
        <v>7.0000000000000007E-2</v>
      </c>
      <c r="K40" s="37">
        <f t="shared" si="0"/>
        <v>0</v>
      </c>
      <c r="L40" s="45">
        <f t="shared" si="1"/>
        <v>0</v>
      </c>
    </row>
    <row r="41" spans="1:12" x14ac:dyDescent="0.35">
      <c r="A41" t="s">
        <v>116</v>
      </c>
      <c r="B41" t="s">
        <v>66</v>
      </c>
      <c r="C41" t="s">
        <v>67</v>
      </c>
      <c r="D41">
        <v>8</v>
      </c>
      <c r="E41">
        <v>1</v>
      </c>
      <c r="F41">
        <v>8</v>
      </c>
      <c r="G41" t="s">
        <v>135</v>
      </c>
      <c r="H41" t="s">
        <v>153</v>
      </c>
      <c r="I41" s="36" t="str">
        <f>VLOOKUP(A41,N:O,2,0)</f>
        <v>Oriente</v>
      </c>
      <c r="J41" s="37">
        <f t="shared" si="2"/>
        <v>7.0000000000000007E-2</v>
      </c>
      <c r="K41" s="37">
        <f t="shared" si="0"/>
        <v>0</v>
      </c>
      <c r="L41" s="45">
        <f t="shared" si="1"/>
        <v>0</v>
      </c>
    </row>
    <row r="42" spans="1:12" x14ac:dyDescent="0.35">
      <c r="A42" t="s">
        <v>104</v>
      </c>
      <c r="B42" t="s">
        <v>117</v>
      </c>
      <c r="C42" t="s">
        <v>103</v>
      </c>
      <c r="D42">
        <v>9</v>
      </c>
      <c r="E42">
        <v>9</v>
      </c>
      <c r="F42">
        <v>81</v>
      </c>
      <c r="G42" t="s">
        <v>135</v>
      </c>
      <c r="H42" t="s">
        <v>152</v>
      </c>
      <c r="I42" s="36" t="str">
        <f>VLOOKUP(A42,N:O,2,0)</f>
        <v>SurEste</v>
      </c>
      <c r="J42" s="37">
        <f t="shared" si="2"/>
        <v>7.0000000000000007E-2</v>
      </c>
      <c r="K42" s="37">
        <f t="shared" si="0"/>
        <v>5.6700000000000008</v>
      </c>
      <c r="L42" s="45">
        <f t="shared" si="1"/>
        <v>5.6700000000000008</v>
      </c>
    </row>
    <row r="43" spans="1:12" x14ac:dyDescent="0.35">
      <c r="A43" t="s">
        <v>108</v>
      </c>
      <c r="B43" t="s">
        <v>117</v>
      </c>
      <c r="C43" t="s">
        <v>103</v>
      </c>
      <c r="D43">
        <v>9</v>
      </c>
      <c r="E43">
        <v>12</v>
      </c>
      <c r="F43">
        <v>108</v>
      </c>
      <c r="G43" t="s">
        <v>135</v>
      </c>
      <c r="H43" t="s">
        <v>153</v>
      </c>
      <c r="I43" s="36" t="str">
        <f>VLOOKUP(A43,N:O,2,0)</f>
        <v>Occidente</v>
      </c>
      <c r="J43" s="37">
        <f t="shared" si="2"/>
        <v>0.11</v>
      </c>
      <c r="K43" s="37">
        <f t="shared" si="0"/>
        <v>0</v>
      </c>
      <c r="L43" s="45">
        <f t="shared" si="1"/>
        <v>0</v>
      </c>
    </row>
    <row r="44" spans="1:12" x14ac:dyDescent="0.35">
      <c r="A44" t="s">
        <v>80</v>
      </c>
      <c r="B44" t="s">
        <v>105</v>
      </c>
      <c r="C44" t="s">
        <v>97</v>
      </c>
      <c r="D44">
        <v>19</v>
      </c>
      <c r="E44">
        <v>10</v>
      </c>
      <c r="F44">
        <v>190</v>
      </c>
      <c r="G44" t="s">
        <v>137</v>
      </c>
      <c r="H44" t="s">
        <v>152</v>
      </c>
      <c r="I44" s="36" t="str">
        <f>VLOOKUP(A44,N:O,2,0)</f>
        <v>Centro Sur</v>
      </c>
      <c r="J44" s="37">
        <f t="shared" si="2"/>
        <v>0.1</v>
      </c>
      <c r="K44" s="37">
        <f t="shared" si="0"/>
        <v>19</v>
      </c>
      <c r="L44" s="45">
        <f t="shared" si="1"/>
        <v>19</v>
      </c>
    </row>
    <row r="45" spans="1:12" x14ac:dyDescent="0.35">
      <c r="A45" t="s">
        <v>98</v>
      </c>
      <c r="B45" t="s">
        <v>118</v>
      </c>
      <c r="C45" t="s">
        <v>76</v>
      </c>
      <c r="D45">
        <v>5</v>
      </c>
      <c r="E45">
        <v>14</v>
      </c>
      <c r="F45">
        <v>70</v>
      </c>
      <c r="G45" t="s">
        <v>135</v>
      </c>
      <c r="H45" t="s">
        <v>152</v>
      </c>
      <c r="I45" s="36" t="str">
        <f>VLOOKUP(A45,N:O,2,0)</f>
        <v>Centronorte</v>
      </c>
      <c r="J45" s="37">
        <f t="shared" si="2"/>
        <v>7.0000000000000007E-2</v>
      </c>
      <c r="K45" s="37">
        <f t="shared" si="0"/>
        <v>4.9000000000000004</v>
      </c>
      <c r="L45" s="45">
        <f t="shared" si="1"/>
        <v>4.9000000000000004</v>
      </c>
    </row>
    <row r="46" spans="1:12" x14ac:dyDescent="0.35">
      <c r="A46" t="s">
        <v>108</v>
      </c>
      <c r="B46" t="s">
        <v>81</v>
      </c>
      <c r="C46" t="s">
        <v>82</v>
      </c>
      <c r="D46">
        <v>14</v>
      </c>
      <c r="E46">
        <v>15</v>
      </c>
      <c r="F46">
        <v>210</v>
      </c>
      <c r="G46" t="s">
        <v>137</v>
      </c>
      <c r="H46" t="s">
        <v>152</v>
      </c>
      <c r="I46" s="36" t="str">
        <f>VLOOKUP(A46,N:O,2,0)</f>
        <v>Occidente</v>
      </c>
      <c r="J46" s="37">
        <f t="shared" si="2"/>
        <v>0.04</v>
      </c>
      <c r="K46" s="37">
        <f t="shared" si="0"/>
        <v>8.4</v>
      </c>
      <c r="L46" s="45">
        <f t="shared" si="1"/>
        <v>8.4</v>
      </c>
    </row>
    <row r="47" spans="1:12" x14ac:dyDescent="0.35">
      <c r="A47" t="s">
        <v>111</v>
      </c>
      <c r="B47" t="s">
        <v>109</v>
      </c>
      <c r="C47" t="s">
        <v>100</v>
      </c>
      <c r="D47">
        <v>1</v>
      </c>
      <c r="E47">
        <v>2</v>
      </c>
      <c r="F47">
        <v>2</v>
      </c>
      <c r="G47" t="s">
        <v>135</v>
      </c>
      <c r="H47" t="s">
        <v>152</v>
      </c>
      <c r="I47" s="36" t="str">
        <f>VLOOKUP(A47,N:O,2,0)</f>
        <v>Occidente</v>
      </c>
      <c r="J47" s="37">
        <f t="shared" si="2"/>
        <v>0.11</v>
      </c>
      <c r="K47" s="37">
        <f t="shared" si="0"/>
        <v>0.22</v>
      </c>
      <c r="L47" s="45">
        <f t="shared" si="1"/>
        <v>0.22</v>
      </c>
    </row>
    <row r="48" spans="1:12" x14ac:dyDescent="0.35">
      <c r="A48" t="s">
        <v>71</v>
      </c>
      <c r="B48" t="s">
        <v>107</v>
      </c>
      <c r="C48" t="s">
        <v>100</v>
      </c>
      <c r="D48">
        <v>5</v>
      </c>
      <c r="E48">
        <v>3</v>
      </c>
      <c r="F48">
        <v>15</v>
      </c>
      <c r="G48" t="s">
        <v>135</v>
      </c>
      <c r="H48" t="s">
        <v>153</v>
      </c>
      <c r="I48" s="36" t="str">
        <f>VLOOKUP(A48,N:O,2,0)</f>
        <v>Noroeste</v>
      </c>
      <c r="J48" s="37">
        <f t="shared" si="2"/>
        <v>0.05</v>
      </c>
      <c r="K48" s="37">
        <f t="shared" si="0"/>
        <v>0</v>
      </c>
      <c r="L48" s="45">
        <f t="shared" si="1"/>
        <v>0</v>
      </c>
    </row>
    <row r="49" spans="1:12" x14ac:dyDescent="0.35">
      <c r="A49" t="s">
        <v>119</v>
      </c>
      <c r="B49" t="s">
        <v>73</v>
      </c>
      <c r="C49" t="s">
        <v>74</v>
      </c>
      <c r="D49">
        <v>1</v>
      </c>
      <c r="E49">
        <v>4</v>
      </c>
      <c r="F49">
        <v>4</v>
      </c>
      <c r="G49" t="s">
        <v>135</v>
      </c>
      <c r="H49" t="s">
        <v>153</v>
      </c>
      <c r="I49" s="36" t="str">
        <f>VLOOKUP(A49,N:O,2,0)</f>
        <v>Occidente</v>
      </c>
      <c r="J49" s="37">
        <f t="shared" si="2"/>
        <v>0.11</v>
      </c>
      <c r="K49" s="37">
        <f t="shared" si="0"/>
        <v>0</v>
      </c>
      <c r="L49" s="45">
        <f t="shared" si="1"/>
        <v>0</v>
      </c>
    </row>
    <row r="50" spans="1:12" x14ac:dyDescent="0.35">
      <c r="A50" t="s">
        <v>88</v>
      </c>
      <c r="B50" t="s">
        <v>81</v>
      </c>
      <c r="C50" t="s">
        <v>82</v>
      </c>
      <c r="D50">
        <v>14</v>
      </c>
      <c r="E50">
        <v>2</v>
      </c>
      <c r="F50">
        <v>28</v>
      </c>
      <c r="G50" t="s">
        <v>137</v>
      </c>
      <c r="H50" t="s">
        <v>153</v>
      </c>
      <c r="I50" s="36" t="str">
        <f>VLOOKUP(A50,N:O,2,0)</f>
        <v>Centronorte</v>
      </c>
      <c r="J50" s="37">
        <f t="shared" si="2"/>
        <v>0.09</v>
      </c>
      <c r="K50" s="37">
        <f t="shared" si="0"/>
        <v>0</v>
      </c>
      <c r="L50" s="45">
        <f t="shared" si="1"/>
        <v>0</v>
      </c>
    </row>
    <row r="51" spans="1:12" x14ac:dyDescent="0.35">
      <c r="A51" t="s">
        <v>68</v>
      </c>
      <c r="B51" t="s">
        <v>113</v>
      </c>
      <c r="C51" t="s">
        <v>90</v>
      </c>
      <c r="D51">
        <v>8</v>
      </c>
      <c r="E51">
        <v>1</v>
      </c>
      <c r="F51">
        <v>8</v>
      </c>
      <c r="G51" t="s">
        <v>135</v>
      </c>
      <c r="H51" t="s">
        <v>152</v>
      </c>
      <c r="I51" s="36" t="str">
        <f>VLOOKUP(A51,N:O,2,0)</f>
        <v>Noroeste</v>
      </c>
      <c r="J51" s="37">
        <f t="shared" si="2"/>
        <v>0.05</v>
      </c>
      <c r="K51" s="37">
        <f t="shared" si="0"/>
        <v>0.4</v>
      </c>
      <c r="L51" s="45">
        <f t="shared" si="1"/>
        <v>0.4</v>
      </c>
    </row>
    <row r="52" spans="1:12" x14ac:dyDescent="0.35">
      <c r="A52" t="s">
        <v>72</v>
      </c>
      <c r="B52" t="s">
        <v>120</v>
      </c>
      <c r="C52" t="s">
        <v>103</v>
      </c>
      <c r="D52">
        <v>3</v>
      </c>
      <c r="E52">
        <v>20</v>
      </c>
      <c r="F52">
        <v>60</v>
      </c>
      <c r="G52" t="s">
        <v>135</v>
      </c>
      <c r="H52" t="s">
        <v>153</v>
      </c>
      <c r="I52" s="36" t="str">
        <f>VLOOKUP(A52,N:O,2,0)</f>
        <v>Centronorte</v>
      </c>
      <c r="J52" s="37">
        <f t="shared" si="2"/>
        <v>7.0000000000000007E-2</v>
      </c>
      <c r="K52" s="37">
        <f t="shared" si="0"/>
        <v>0</v>
      </c>
      <c r="L52" s="45">
        <f t="shared" si="1"/>
        <v>0</v>
      </c>
    </row>
    <row r="53" spans="1:12" x14ac:dyDescent="0.35">
      <c r="A53" t="s">
        <v>108</v>
      </c>
      <c r="B53" t="s">
        <v>81</v>
      </c>
      <c r="C53" t="s">
        <v>82</v>
      </c>
      <c r="D53">
        <v>14</v>
      </c>
      <c r="E53">
        <v>13</v>
      </c>
      <c r="F53">
        <v>182</v>
      </c>
      <c r="G53" t="s">
        <v>137</v>
      </c>
      <c r="H53" t="s">
        <v>153</v>
      </c>
      <c r="I53" s="36" t="str">
        <f>VLOOKUP(A53,N:O,2,0)</f>
        <v>Occidente</v>
      </c>
      <c r="J53" s="37">
        <f t="shared" si="2"/>
        <v>0.04</v>
      </c>
      <c r="K53" s="37">
        <f t="shared" si="0"/>
        <v>0</v>
      </c>
      <c r="L53" s="45">
        <f t="shared" si="1"/>
        <v>0</v>
      </c>
    </row>
    <row r="54" spans="1:12" x14ac:dyDescent="0.35">
      <c r="A54" t="s">
        <v>71</v>
      </c>
      <c r="B54" t="s">
        <v>69</v>
      </c>
      <c r="C54" t="s">
        <v>70</v>
      </c>
      <c r="D54">
        <v>500</v>
      </c>
      <c r="E54">
        <v>5</v>
      </c>
      <c r="F54">
        <v>2500</v>
      </c>
      <c r="G54" t="s">
        <v>136</v>
      </c>
      <c r="H54" t="s">
        <v>153</v>
      </c>
      <c r="I54" s="36" t="str">
        <f>VLOOKUP(A54,N:O,2,0)</f>
        <v>Noroeste</v>
      </c>
      <c r="J54" s="37">
        <f t="shared" si="2"/>
        <v>0.13</v>
      </c>
      <c r="K54" s="37">
        <f t="shared" si="0"/>
        <v>0</v>
      </c>
      <c r="L54" s="45">
        <f t="shared" si="1"/>
        <v>0</v>
      </c>
    </row>
    <row r="55" spans="1:12" x14ac:dyDescent="0.35">
      <c r="A55" t="s">
        <v>114</v>
      </c>
      <c r="B55" t="s">
        <v>118</v>
      </c>
      <c r="C55" t="s">
        <v>76</v>
      </c>
      <c r="D55">
        <v>5</v>
      </c>
      <c r="E55">
        <v>14</v>
      </c>
      <c r="F55">
        <v>70</v>
      </c>
      <c r="G55" t="s">
        <v>135</v>
      </c>
      <c r="H55" t="s">
        <v>152</v>
      </c>
      <c r="I55" s="36" t="str">
        <f>VLOOKUP(A55,N:O,2,0)</f>
        <v>SurOeste</v>
      </c>
      <c r="J55" s="37">
        <f t="shared" si="2"/>
        <v>0.11</v>
      </c>
      <c r="K55" s="37">
        <f t="shared" si="0"/>
        <v>7.7</v>
      </c>
      <c r="L55" s="45">
        <f t="shared" si="1"/>
        <v>7.7</v>
      </c>
    </row>
    <row r="56" spans="1:12" x14ac:dyDescent="0.35">
      <c r="A56" t="s">
        <v>98</v>
      </c>
      <c r="B56" t="s">
        <v>86</v>
      </c>
      <c r="C56" t="s">
        <v>87</v>
      </c>
      <c r="D56">
        <v>7</v>
      </c>
      <c r="E56">
        <v>2</v>
      </c>
      <c r="F56">
        <v>14</v>
      </c>
      <c r="G56" t="s">
        <v>135</v>
      </c>
      <c r="H56" t="s">
        <v>153</v>
      </c>
      <c r="I56" s="36" t="str">
        <f>VLOOKUP(A56,N:O,2,0)</f>
        <v>Centronorte</v>
      </c>
      <c r="J56" s="37">
        <f t="shared" si="2"/>
        <v>7.0000000000000007E-2</v>
      </c>
      <c r="K56" s="37">
        <f t="shared" si="0"/>
        <v>0</v>
      </c>
      <c r="L56" s="45">
        <f t="shared" si="1"/>
        <v>0</v>
      </c>
    </row>
    <row r="57" spans="1:12" x14ac:dyDescent="0.35">
      <c r="A57" t="s">
        <v>104</v>
      </c>
      <c r="B57" t="s">
        <v>102</v>
      </c>
      <c r="C57" t="s">
        <v>103</v>
      </c>
      <c r="D57">
        <v>4</v>
      </c>
      <c r="E57">
        <v>8</v>
      </c>
      <c r="F57">
        <v>32</v>
      </c>
      <c r="G57" t="s">
        <v>135</v>
      </c>
      <c r="H57" t="s">
        <v>152</v>
      </c>
      <c r="I57" s="36" t="str">
        <f>VLOOKUP(A57,N:O,2,0)</f>
        <v>SurEste</v>
      </c>
      <c r="J57" s="37">
        <f t="shared" si="2"/>
        <v>7.0000000000000007E-2</v>
      </c>
      <c r="K57" s="37">
        <f t="shared" si="0"/>
        <v>2.2400000000000002</v>
      </c>
      <c r="L57" s="45">
        <f t="shared" si="1"/>
        <v>2.2400000000000002</v>
      </c>
    </row>
    <row r="58" spans="1:12" x14ac:dyDescent="0.35">
      <c r="A58" t="s">
        <v>91</v>
      </c>
      <c r="B58" t="s">
        <v>115</v>
      </c>
      <c r="C58" t="s">
        <v>97</v>
      </c>
      <c r="D58">
        <v>11</v>
      </c>
      <c r="E58">
        <v>1</v>
      </c>
      <c r="F58">
        <v>11</v>
      </c>
      <c r="G58" t="s">
        <v>135</v>
      </c>
      <c r="H58" t="s">
        <v>152</v>
      </c>
      <c r="I58" s="36" t="str">
        <f>VLOOKUP(A58,N:O,2,0)</f>
        <v>Occidente</v>
      </c>
      <c r="J58" s="37">
        <f t="shared" si="2"/>
        <v>0.11</v>
      </c>
      <c r="K58" s="37">
        <f t="shared" si="0"/>
        <v>1.21</v>
      </c>
      <c r="L58" s="45">
        <f t="shared" si="1"/>
        <v>1.21</v>
      </c>
    </row>
    <row r="59" spans="1:12" x14ac:dyDescent="0.35">
      <c r="A59" t="s">
        <v>121</v>
      </c>
      <c r="B59" t="s">
        <v>118</v>
      </c>
      <c r="C59" t="s">
        <v>76</v>
      </c>
      <c r="D59">
        <v>5</v>
      </c>
      <c r="E59">
        <v>13</v>
      </c>
      <c r="F59">
        <v>65</v>
      </c>
      <c r="G59" t="s">
        <v>135</v>
      </c>
      <c r="H59" t="s">
        <v>153</v>
      </c>
      <c r="I59" s="36" t="str">
        <f>VLOOKUP(A59,N:O,2,0)</f>
        <v>Oriente</v>
      </c>
      <c r="J59" s="37">
        <f t="shared" si="2"/>
        <v>7.0000000000000007E-2</v>
      </c>
      <c r="K59" s="37">
        <f t="shared" si="0"/>
        <v>0</v>
      </c>
      <c r="L59" s="45">
        <f t="shared" si="1"/>
        <v>0</v>
      </c>
    </row>
    <row r="60" spans="1:12" x14ac:dyDescent="0.35">
      <c r="A60" t="s">
        <v>71</v>
      </c>
      <c r="B60" t="s">
        <v>78</v>
      </c>
      <c r="C60" t="s">
        <v>79</v>
      </c>
      <c r="D60">
        <v>5</v>
      </c>
      <c r="E60">
        <v>16</v>
      </c>
      <c r="F60">
        <v>80</v>
      </c>
      <c r="G60" t="s">
        <v>135</v>
      </c>
      <c r="H60" t="s">
        <v>153</v>
      </c>
      <c r="I60" s="36" t="str">
        <f>VLOOKUP(A60,N:O,2,0)</f>
        <v>Noroeste</v>
      </c>
      <c r="J60" s="37">
        <f t="shared" si="2"/>
        <v>0.05</v>
      </c>
      <c r="K60" s="37">
        <f t="shared" si="0"/>
        <v>0</v>
      </c>
      <c r="L60" s="45">
        <f t="shared" si="1"/>
        <v>0</v>
      </c>
    </row>
    <row r="61" spans="1:12" x14ac:dyDescent="0.35">
      <c r="A61" t="s">
        <v>110</v>
      </c>
      <c r="B61" t="s">
        <v>96</v>
      </c>
      <c r="C61" t="s">
        <v>97</v>
      </c>
      <c r="D61">
        <v>19</v>
      </c>
      <c r="E61">
        <v>15</v>
      </c>
      <c r="F61">
        <v>285</v>
      </c>
      <c r="G61" t="s">
        <v>137</v>
      </c>
      <c r="H61" t="s">
        <v>153</v>
      </c>
      <c r="I61" s="36" t="str">
        <f>VLOOKUP(A61,N:O,2,0)</f>
        <v>Noroeste</v>
      </c>
      <c r="J61" s="37">
        <f t="shared" si="2"/>
        <v>0.1</v>
      </c>
      <c r="K61" s="37">
        <f t="shared" si="0"/>
        <v>0</v>
      </c>
      <c r="L61" s="45">
        <f t="shared" si="1"/>
        <v>0</v>
      </c>
    </row>
    <row r="62" spans="1:12" x14ac:dyDescent="0.35">
      <c r="A62" t="s">
        <v>77</v>
      </c>
      <c r="B62" t="s">
        <v>66</v>
      </c>
      <c r="C62" t="s">
        <v>67</v>
      </c>
      <c r="D62">
        <v>8</v>
      </c>
      <c r="E62">
        <v>14</v>
      </c>
      <c r="F62">
        <v>112</v>
      </c>
      <c r="G62" t="s">
        <v>135</v>
      </c>
      <c r="H62" t="s">
        <v>152</v>
      </c>
      <c r="I62" s="36" t="str">
        <f>VLOOKUP(A62,N:O,2,0)</f>
        <v>Noreste</v>
      </c>
      <c r="J62" s="37">
        <f t="shared" si="2"/>
        <v>0.08</v>
      </c>
      <c r="K62" s="37">
        <f t="shared" si="0"/>
        <v>8.9600000000000009</v>
      </c>
      <c r="L62" s="45">
        <f t="shared" si="1"/>
        <v>8.9600000000000009</v>
      </c>
    </row>
    <row r="63" spans="1:12" x14ac:dyDescent="0.35">
      <c r="A63" t="s">
        <v>94</v>
      </c>
      <c r="B63" t="s">
        <v>118</v>
      </c>
      <c r="C63" t="s">
        <v>76</v>
      </c>
      <c r="D63">
        <v>5</v>
      </c>
      <c r="E63">
        <v>1</v>
      </c>
      <c r="F63">
        <v>5</v>
      </c>
      <c r="G63" t="s">
        <v>135</v>
      </c>
      <c r="H63" t="s">
        <v>153</v>
      </c>
      <c r="I63" s="36" t="str">
        <f>VLOOKUP(A63,N:O,2,0)</f>
        <v>Noreste</v>
      </c>
      <c r="J63" s="37">
        <f t="shared" si="2"/>
        <v>0.08</v>
      </c>
      <c r="K63" s="37">
        <f t="shared" si="0"/>
        <v>0</v>
      </c>
      <c r="L63" s="45">
        <f t="shared" si="1"/>
        <v>0</v>
      </c>
    </row>
    <row r="64" spans="1:12" x14ac:dyDescent="0.35">
      <c r="A64" t="s">
        <v>122</v>
      </c>
      <c r="B64" t="s">
        <v>78</v>
      </c>
      <c r="C64" t="s">
        <v>79</v>
      </c>
      <c r="D64">
        <v>5</v>
      </c>
      <c r="E64">
        <v>15</v>
      </c>
      <c r="F64">
        <v>75</v>
      </c>
      <c r="G64" t="s">
        <v>135</v>
      </c>
      <c r="H64" t="s">
        <v>152</v>
      </c>
      <c r="I64" s="36" t="str">
        <f>VLOOKUP(A64,N:O,2,0)</f>
        <v>Noroeste</v>
      </c>
      <c r="J64" s="37">
        <f t="shared" si="2"/>
        <v>0.05</v>
      </c>
      <c r="K64" s="37">
        <f t="shared" si="0"/>
        <v>3.75</v>
      </c>
      <c r="L64" s="45">
        <f t="shared" si="1"/>
        <v>3.75</v>
      </c>
    </row>
    <row r="65" spans="1:12" x14ac:dyDescent="0.35">
      <c r="A65" t="s">
        <v>65</v>
      </c>
      <c r="B65" t="s">
        <v>99</v>
      </c>
      <c r="C65" t="s">
        <v>100</v>
      </c>
      <c r="D65">
        <v>9</v>
      </c>
      <c r="E65">
        <v>11</v>
      </c>
      <c r="F65">
        <v>99</v>
      </c>
      <c r="G65" t="s">
        <v>135</v>
      </c>
      <c r="H65" t="s">
        <v>152</v>
      </c>
      <c r="I65" s="36" t="str">
        <f>VLOOKUP(A65,N:O,2,0)</f>
        <v>Oriente</v>
      </c>
      <c r="J65" s="37">
        <f t="shared" si="2"/>
        <v>7.0000000000000007E-2</v>
      </c>
      <c r="K65" s="37">
        <f t="shared" si="0"/>
        <v>6.9300000000000006</v>
      </c>
      <c r="L65" s="45">
        <f t="shared" si="1"/>
        <v>6.9300000000000006</v>
      </c>
    </row>
    <row r="66" spans="1:12" x14ac:dyDescent="0.35">
      <c r="A66" t="s">
        <v>114</v>
      </c>
      <c r="B66" t="s">
        <v>105</v>
      </c>
      <c r="C66" t="s">
        <v>97</v>
      </c>
      <c r="D66">
        <v>19</v>
      </c>
      <c r="E66">
        <v>15</v>
      </c>
      <c r="F66">
        <v>285</v>
      </c>
      <c r="G66" t="s">
        <v>137</v>
      </c>
      <c r="H66" t="s">
        <v>153</v>
      </c>
      <c r="I66" s="36" t="str">
        <f>VLOOKUP(A66,N:O,2,0)</f>
        <v>SurOeste</v>
      </c>
      <c r="J66" s="37">
        <f t="shared" si="2"/>
        <v>0.13</v>
      </c>
      <c r="K66" s="37">
        <f t="shared" si="0"/>
        <v>0</v>
      </c>
      <c r="L66" s="45">
        <f t="shared" si="1"/>
        <v>0</v>
      </c>
    </row>
    <row r="67" spans="1:12" x14ac:dyDescent="0.35">
      <c r="A67" t="s">
        <v>71</v>
      </c>
      <c r="B67" t="s">
        <v>107</v>
      </c>
      <c r="C67" t="s">
        <v>100</v>
      </c>
      <c r="D67">
        <v>5</v>
      </c>
      <c r="E67">
        <v>2</v>
      </c>
      <c r="F67">
        <v>10</v>
      </c>
      <c r="G67" t="s">
        <v>135</v>
      </c>
      <c r="H67" t="s">
        <v>152</v>
      </c>
      <c r="I67" s="36" t="str">
        <f>VLOOKUP(A67,N:O,2,0)</f>
        <v>Noroeste</v>
      </c>
      <c r="J67" s="37">
        <f t="shared" si="2"/>
        <v>0.05</v>
      </c>
      <c r="K67" s="37">
        <f t="shared" si="0"/>
        <v>0.5</v>
      </c>
      <c r="L67" s="45">
        <f t="shared" si="1"/>
        <v>0.5</v>
      </c>
    </row>
    <row r="68" spans="1:12" x14ac:dyDescent="0.35">
      <c r="A68" t="s">
        <v>116</v>
      </c>
      <c r="B68" t="s">
        <v>105</v>
      </c>
      <c r="C68" t="s">
        <v>97</v>
      </c>
      <c r="D68">
        <v>19</v>
      </c>
      <c r="E68">
        <v>11</v>
      </c>
      <c r="F68">
        <v>209</v>
      </c>
      <c r="G68" t="s">
        <v>137</v>
      </c>
      <c r="H68" t="s">
        <v>153</v>
      </c>
      <c r="I68" s="36" t="str">
        <f>VLOOKUP(A68,N:O,2,0)</f>
        <v>Oriente</v>
      </c>
      <c r="J68" s="37">
        <f t="shared" si="2"/>
        <v>0.1</v>
      </c>
      <c r="K68" s="37">
        <f t="shared" ref="K68:K131" si="3">IF(H68="No aplica impuestos",0,J68*F68)</f>
        <v>0</v>
      </c>
      <c r="L68" s="45">
        <f t="shared" ref="L68:L131" si="4">K68</f>
        <v>0</v>
      </c>
    </row>
    <row r="69" spans="1:12" x14ac:dyDescent="0.35">
      <c r="A69" t="s">
        <v>72</v>
      </c>
      <c r="B69" t="s">
        <v>86</v>
      </c>
      <c r="C69" t="s">
        <v>87</v>
      </c>
      <c r="D69">
        <v>7</v>
      </c>
      <c r="E69">
        <v>20</v>
      </c>
      <c r="F69">
        <v>140</v>
      </c>
      <c r="G69" t="s">
        <v>135</v>
      </c>
      <c r="H69" t="s">
        <v>153</v>
      </c>
      <c r="I69" s="36" t="str">
        <f>VLOOKUP(A69,N:O,2,0)</f>
        <v>Centronorte</v>
      </c>
      <c r="J69" s="37">
        <f t="shared" ref="J69:J132" si="5">VLOOKUP(I69,$Q$2:$U$11,HLOOKUP(G69,$R$2:$U$3,2,0),0)</f>
        <v>7.0000000000000007E-2</v>
      </c>
      <c r="K69" s="37">
        <f t="shared" si="3"/>
        <v>0</v>
      </c>
      <c r="L69" s="45">
        <f t="shared" si="4"/>
        <v>0</v>
      </c>
    </row>
    <row r="70" spans="1:12" x14ac:dyDescent="0.35">
      <c r="A70" t="s">
        <v>83</v>
      </c>
      <c r="B70" t="s">
        <v>73</v>
      </c>
      <c r="C70" t="s">
        <v>74</v>
      </c>
      <c r="D70">
        <v>1</v>
      </c>
      <c r="E70">
        <v>13</v>
      </c>
      <c r="F70">
        <v>13</v>
      </c>
      <c r="G70" t="s">
        <v>135</v>
      </c>
      <c r="H70" t="s">
        <v>153</v>
      </c>
      <c r="I70" s="36" t="str">
        <f>VLOOKUP(A70,N:O,2,0)</f>
        <v>Centronorte</v>
      </c>
      <c r="J70" s="37">
        <f t="shared" si="5"/>
        <v>7.0000000000000007E-2</v>
      </c>
      <c r="K70" s="37">
        <f t="shared" si="3"/>
        <v>0</v>
      </c>
      <c r="L70" s="45">
        <f t="shared" si="4"/>
        <v>0</v>
      </c>
    </row>
    <row r="71" spans="1:12" x14ac:dyDescent="0.35">
      <c r="A71" t="s">
        <v>104</v>
      </c>
      <c r="B71" t="s">
        <v>109</v>
      </c>
      <c r="C71" t="s">
        <v>100</v>
      </c>
      <c r="D71">
        <v>1</v>
      </c>
      <c r="E71">
        <v>10</v>
      </c>
      <c r="F71">
        <v>10</v>
      </c>
      <c r="G71" t="s">
        <v>135</v>
      </c>
      <c r="H71" t="s">
        <v>153</v>
      </c>
      <c r="I71" s="36" t="str">
        <f>VLOOKUP(A71,N:O,2,0)</f>
        <v>SurEste</v>
      </c>
      <c r="J71" s="37">
        <f t="shared" si="5"/>
        <v>7.0000000000000007E-2</v>
      </c>
      <c r="K71" s="37">
        <f t="shared" si="3"/>
        <v>0</v>
      </c>
      <c r="L71" s="45">
        <f t="shared" si="4"/>
        <v>0</v>
      </c>
    </row>
    <row r="72" spans="1:12" x14ac:dyDescent="0.35">
      <c r="A72" t="s">
        <v>71</v>
      </c>
      <c r="B72" t="s">
        <v>81</v>
      </c>
      <c r="C72" t="s">
        <v>82</v>
      </c>
      <c r="D72">
        <v>14</v>
      </c>
      <c r="E72">
        <v>16</v>
      </c>
      <c r="F72">
        <v>224</v>
      </c>
      <c r="G72" t="s">
        <v>137</v>
      </c>
      <c r="H72" t="s">
        <v>153</v>
      </c>
      <c r="I72" s="36" t="str">
        <f>VLOOKUP(A72,N:O,2,0)</f>
        <v>Noroeste</v>
      </c>
      <c r="J72" s="37">
        <f t="shared" si="5"/>
        <v>0.1</v>
      </c>
      <c r="K72" s="37">
        <f t="shared" si="3"/>
        <v>0</v>
      </c>
      <c r="L72" s="45">
        <f t="shared" si="4"/>
        <v>0</v>
      </c>
    </row>
    <row r="73" spans="1:12" x14ac:dyDescent="0.35">
      <c r="A73" t="s">
        <v>85</v>
      </c>
      <c r="B73" t="s">
        <v>115</v>
      </c>
      <c r="C73" t="s">
        <v>97</v>
      </c>
      <c r="D73">
        <v>11</v>
      </c>
      <c r="E73">
        <v>20</v>
      </c>
      <c r="F73">
        <v>220</v>
      </c>
      <c r="G73" t="s">
        <v>135</v>
      </c>
      <c r="H73" t="s">
        <v>153</v>
      </c>
      <c r="I73" s="36" t="str">
        <f>VLOOKUP(A73,N:O,2,0)</f>
        <v>Oriente</v>
      </c>
      <c r="J73" s="37">
        <f t="shared" si="5"/>
        <v>7.0000000000000007E-2</v>
      </c>
      <c r="K73" s="37">
        <f t="shared" si="3"/>
        <v>0</v>
      </c>
      <c r="L73" s="45">
        <f t="shared" si="4"/>
        <v>0</v>
      </c>
    </row>
    <row r="74" spans="1:12" x14ac:dyDescent="0.35">
      <c r="A74" t="s">
        <v>85</v>
      </c>
      <c r="B74" t="s">
        <v>96</v>
      </c>
      <c r="C74" t="s">
        <v>97</v>
      </c>
      <c r="D74">
        <v>19</v>
      </c>
      <c r="E74">
        <v>7</v>
      </c>
      <c r="F74">
        <v>133</v>
      </c>
      <c r="G74" t="s">
        <v>137</v>
      </c>
      <c r="H74" t="s">
        <v>153</v>
      </c>
      <c r="I74" s="36" t="str">
        <f>VLOOKUP(A74,N:O,2,0)</f>
        <v>Oriente</v>
      </c>
      <c r="J74" s="37">
        <f t="shared" si="5"/>
        <v>0.1</v>
      </c>
      <c r="K74" s="37">
        <f t="shared" si="3"/>
        <v>0</v>
      </c>
      <c r="L74" s="45">
        <f t="shared" si="4"/>
        <v>0</v>
      </c>
    </row>
    <row r="75" spans="1:12" x14ac:dyDescent="0.35">
      <c r="A75" t="s">
        <v>83</v>
      </c>
      <c r="B75" t="s">
        <v>120</v>
      </c>
      <c r="C75" t="s">
        <v>103</v>
      </c>
      <c r="D75">
        <v>3</v>
      </c>
      <c r="E75">
        <v>12</v>
      </c>
      <c r="F75">
        <v>36</v>
      </c>
      <c r="G75" t="s">
        <v>135</v>
      </c>
      <c r="H75" t="s">
        <v>152</v>
      </c>
      <c r="I75" s="36" t="str">
        <f>VLOOKUP(A75,N:O,2,0)</f>
        <v>Centronorte</v>
      </c>
      <c r="J75" s="37">
        <f t="shared" si="5"/>
        <v>7.0000000000000007E-2</v>
      </c>
      <c r="K75" s="37">
        <f t="shared" si="3"/>
        <v>2.5200000000000005</v>
      </c>
      <c r="L75" s="45">
        <f t="shared" si="4"/>
        <v>2.5200000000000005</v>
      </c>
    </row>
    <row r="76" spans="1:12" x14ac:dyDescent="0.35">
      <c r="A76" t="s">
        <v>101</v>
      </c>
      <c r="B76" t="s">
        <v>73</v>
      </c>
      <c r="C76" t="s">
        <v>74</v>
      </c>
      <c r="D76">
        <v>1</v>
      </c>
      <c r="E76">
        <v>11</v>
      </c>
      <c r="F76">
        <v>11</v>
      </c>
      <c r="G76" t="s">
        <v>135</v>
      </c>
      <c r="H76" t="s">
        <v>153</v>
      </c>
      <c r="I76" s="36" t="str">
        <f>VLOOKUP(A76,N:O,2,0)</f>
        <v>SurEste</v>
      </c>
      <c r="J76" s="37">
        <f t="shared" si="5"/>
        <v>7.0000000000000007E-2</v>
      </c>
      <c r="K76" s="37">
        <f t="shared" si="3"/>
        <v>0</v>
      </c>
      <c r="L76" s="45">
        <f t="shared" si="4"/>
        <v>0</v>
      </c>
    </row>
    <row r="77" spans="1:12" x14ac:dyDescent="0.35">
      <c r="A77" t="s">
        <v>88</v>
      </c>
      <c r="B77" t="s">
        <v>75</v>
      </c>
      <c r="C77" t="s">
        <v>76</v>
      </c>
      <c r="D77">
        <v>4</v>
      </c>
      <c r="E77">
        <v>15</v>
      </c>
      <c r="F77">
        <v>60</v>
      </c>
      <c r="G77" t="s">
        <v>135</v>
      </c>
      <c r="H77" t="s">
        <v>153</v>
      </c>
      <c r="I77" s="36" t="str">
        <f>VLOOKUP(A77,N:O,2,0)</f>
        <v>Centronorte</v>
      </c>
      <c r="J77" s="37">
        <f t="shared" si="5"/>
        <v>7.0000000000000007E-2</v>
      </c>
      <c r="K77" s="37">
        <f t="shared" si="3"/>
        <v>0</v>
      </c>
      <c r="L77" s="45">
        <f t="shared" si="4"/>
        <v>0</v>
      </c>
    </row>
    <row r="78" spans="1:12" x14ac:dyDescent="0.35">
      <c r="A78" t="s">
        <v>114</v>
      </c>
      <c r="B78" t="s">
        <v>109</v>
      </c>
      <c r="C78" t="s">
        <v>100</v>
      </c>
      <c r="D78">
        <v>1</v>
      </c>
      <c r="E78">
        <v>12</v>
      </c>
      <c r="F78">
        <v>12</v>
      </c>
      <c r="G78" t="s">
        <v>135</v>
      </c>
      <c r="H78" t="s">
        <v>153</v>
      </c>
      <c r="I78" s="36" t="str">
        <f>VLOOKUP(A78,N:O,2,0)</f>
        <v>SurOeste</v>
      </c>
      <c r="J78" s="37">
        <f t="shared" si="5"/>
        <v>0.11</v>
      </c>
      <c r="K78" s="37">
        <f t="shared" si="3"/>
        <v>0</v>
      </c>
      <c r="L78" s="45">
        <f t="shared" si="4"/>
        <v>0</v>
      </c>
    </row>
    <row r="79" spans="1:12" x14ac:dyDescent="0.35">
      <c r="A79" t="s">
        <v>104</v>
      </c>
      <c r="B79" t="s">
        <v>113</v>
      </c>
      <c r="C79" t="s">
        <v>90</v>
      </c>
      <c r="D79">
        <v>8</v>
      </c>
      <c r="E79">
        <v>5</v>
      </c>
      <c r="F79">
        <v>40</v>
      </c>
      <c r="G79" t="s">
        <v>135</v>
      </c>
      <c r="H79" t="s">
        <v>153</v>
      </c>
      <c r="I79" s="36" t="str">
        <f>VLOOKUP(A79,N:O,2,0)</f>
        <v>SurEste</v>
      </c>
      <c r="J79" s="37">
        <f t="shared" si="5"/>
        <v>7.0000000000000007E-2</v>
      </c>
      <c r="K79" s="37">
        <f t="shared" si="3"/>
        <v>0</v>
      </c>
      <c r="L79" s="45">
        <f t="shared" si="4"/>
        <v>0</v>
      </c>
    </row>
    <row r="80" spans="1:12" x14ac:dyDescent="0.35">
      <c r="A80" t="s">
        <v>80</v>
      </c>
      <c r="B80" t="s">
        <v>99</v>
      </c>
      <c r="C80" t="s">
        <v>100</v>
      </c>
      <c r="D80">
        <v>9</v>
      </c>
      <c r="E80">
        <v>11</v>
      </c>
      <c r="F80">
        <v>99</v>
      </c>
      <c r="G80" t="s">
        <v>135</v>
      </c>
      <c r="H80" t="s">
        <v>152</v>
      </c>
      <c r="I80" s="36" t="str">
        <f>VLOOKUP(A80,N:O,2,0)</f>
        <v>Centro Sur</v>
      </c>
      <c r="J80" s="37">
        <f t="shared" si="5"/>
        <v>0.13</v>
      </c>
      <c r="K80" s="37">
        <f t="shared" si="3"/>
        <v>12.870000000000001</v>
      </c>
      <c r="L80" s="45">
        <f t="shared" si="4"/>
        <v>12.870000000000001</v>
      </c>
    </row>
    <row r="81" spans="1:12" x14ac:dyDescent="0.35">
      <c r="A81" t="s">
        <v>77</v>
      </c>
      <c r="B81" t="s">
        <v>66</v>
      </c>
      <c r="C81" t="s">
        <v>67</v>
      </c>
      <c r="D81">
        <v>8</v>
      </c>
      <c r="E81">
        <v>19</v>
      </c>
      <c r="F81">
        <v>152</v>
      </c>
      <c r="G81" t="s">
        <v>135</v>
      </c>
      <c r="H81" t="s">
        <v>152</v>
      </c>
      <c r="I81" s="36" t="str">
        <f>VLOOKUP(A81,N:O,2,0)</f>
        <v>Noreste</v>
      </c>
      <c r="J81" s="37">
        <f t="shared" si="5"/>
        <v>0.08</v>
      </c>
      <c r="K81" s="37">
        <f t="shared" si="3"/>
        <v>12.16</v>
      </c>
      <c r="L81" s="45">
        <f t="shared" si="4"/>
        <v>12.16</v>
      </c>
    </row>
    <row r="82" spans="1:12" x14ac:dyDescent="0.35">
      <c r="A82" t="s">
        <v>80</v>
      </c>
      <c r="B82" t="s">
        <v>107</v>
      </c>
      <c r="C82" t="s">
        <v>100</v>
      </c>
      <c r="D82">
        <v>5</v>
      </c>
      <c r="E82">
        <v>8</v>
      </c>
      <c r="F82">
        <v>40</v>
      </c>
      <c r="G82" t="s">
        <v>135</v>
      </c>
      <c r="H82" t="s">
        <v>153</v>
      </c>
      <c r="I82" s="36" t="str">
        <f>VLOOKUP(A82,N:O,2,0)</f>
        <v>Centro Sur</v>
      </c>
      <c r="J82" s="37">
        <f t="shared" si="5"/>
        <v>0.13</v>
      </c>
      <c r="K82" s="37">
        <f t="shared" si="3"/>
        <v>0</v>
      </c>
      <c r="L82" s="45">
        <f t="shared" si="4"/>
        <v>0</v>
      </c>
    </row>
    <row r="83" spans="1:12" x14ac:dyDescent="0.35">
      <c r="A83" t="s">
        <v>123</v>
      </c>
      <c r="B83" t="s">
        <v>69</v>
      </c>
      <c r="C83" t="s">
        <v>70</v>
      </c>
      <c r="D83">
        <v>500</v>
      </c>
      <c r="E83">
        <v>9</v>
      </c>
      <c r="F83">
        <v>4500</v>
      </c>
      <c r="G83" t="s">
        <v>136</v>
      </c>
      <c r="H83" t="s">
        <v>153</v>
      </c>
      <c r="I83" s="36" t="str">
        <f>VLOOKUP(A83,N:O,2,0)</f>
        <v>Noreste</v>
      </c>
      <c r="J83" s="37">
        <f t="shared" si="5"/>
        <v>0.1</v>
      </c>
      <c r="K83" s="37">
        <f t="shared" si="3"/>
        <v>0</v>
      </c>
      <c r="L83" s="45">
        <f t="shared" si="4"/>
        <v>0</v>
      </c>
    </row>
    <row r="84" spans="1:12" x14ac:dyDescent="0.35">
      <c r="A84" t="s">
        <v>108</v>
      </c>
      <c r="B84" t="s">
        <v>92</v>
      </c>
      <c r="C84" t="s">
        <v>93</v>
      </c>
      <c r="D84">
        <v>7</v>
      </c>
      <c r="E84">
        <v>7</v>
      </c>
      <c r="F84">
        <v>49</v>
      </c>
      <c r="G84" t="s">
        <v>135</v>
      </c>
      <c r="H84" t="s">
        <v>152</v>
      </c>
      <c r="I84" s="36" t="str">
        <f>VLOOKUP(A84,N:O,2,0)</f>
        <v>Occidente</v>
      </c>
      <c r="J84" s="37">
        <f t="shared" si="5"/>
        <v>0.11</v>
      </c>
      <c r="K84" s="37">
        <f t="shared" si="3"/>
        <v>5.39</v>
      </c>
      <c r="L84" s="45">
        <f t="shared" si="4"/>
        <v>5.39</v>
      </c>
    </row>
    <row r="85" spans="1:12" x14ac:dyDescent="0.35">
      <c r="A85" t="s">
        <v>108</v>
      </c>
      <c r="B85" t="s">
        <v>69</v>
      </c>
      <c r="C85" t="s">
        <v>70</v>
      </c>
      <c r="D85">
        <v>500</v>
      </c>
      <c r="E85">
        <v>6</v>
      </c>
      <c r="F85">
        <v>3000</v>
      </c>
      <c r="G85" t="s">
        <v>136</v>
      </c>
      <c r="H85" t="s">
        <v>152</v>
      </c>
      <c r="I85" s="36" t="str">
        <f>VLOOKUP(A85,N:O,2,0)</f>
        <v>Occidente</v>
      </c>
      <c r="J85" s="37">
        <f t="shared" si="5"/>
        <v>0.14000000000000001</v>
      </c>
      <c r="K85" s="37">
        <f t="shared" si="3"/>
        <v>420.00000000000006</v>
      </c>
      <c r="L85" s="45">
        <f t="shared" si="4"/>
        <v>420.00000000000006</v>
      </c>
    </row>
    <row r="86" spans="1:12" x14ac:dyDescent="0.35">
      <c r="A86" t="s">
        <v>119</v>
      </c>
      <c r="B86" t="s">
        <v>96</v>
      </c>
      <c r="C86" t="s">
        <v>97</v>
      </c>
      <c r="D86">
        <v>19</v>
      </c>
      <c r="E86">
        <v>4</v>
      </c>
      <c r="F86">
        <v>76</v>
      </c>
      <c r="G86" t="s">
        <v>137</v>
      </c>
      <c r="H86" t="s">
        <v>153</v>
      </c>
      <c r="I86" s="36" t="str">
        <f>VLOOKUP(A86,N:O,2,0)</f>
        <v>Occidente</v>
      </c>
      <c r="J86" s="37">
        <f t="shared" si="5"/>
        <v>0.04</v>
      </c>
      <c r="K86" s="37">
        <f t="shared" si="3"/>
        <v>0</v>
      </c>
      <c r="L86" s="45">
        <f t="shared" si="4"/>
        <v>0</v>
      </c>
    </row>
    <row r="87" spans="1:12" x14ac:dyDescent="0.35">
      <c r="A87" t="s">
        <v>104</v>
      </c>
      <c r="B87" t="s">
        <v>102</v>
      </c>
      <c r="C87" t="s">
        <v>103</v>
      </c>
      <c r="D87">
        <v>4</v>
      </c>
      <c r="E87">
        <v>17</v>
      </c>
      <c r="F87">
        <v>68</v>
      </c>
      <c r="G87" t="s">
        <v>135</v>
      </c>
      <c r="H87" t="s">
        <v>153</v>
      </c>
      <c r="I87" s="36" t="str">
        <f>VLOOKUP(A87,N:O,2,0)</f>
        <v>SurEste</v>
      </c>
      <c r="J87" s="37">
        <f t="shared" si="5"/>
        <v>7.0000000000000007E-2</v>
      </c>
      <c r="K87" s="37">
        <f t="shared" si="3"/>
        <v>0</v>
      </c>
      <c r="L87" s="45">
        <f t="shared" si="4"/>
        <v>0</v>
      </c>
    </row>
    <row r="88" spans="1:12" x14ac:dyDescent="0.35">
      <c r="A88" t="s">
        <v>83</v>
      </c>
      <c r="B88" t="s">
        <v>120</v>
      </c>
      <c r="C88" t="s">
        <v>103</v>
      </c>
      <c r="D88">
        <v>3</v>
      </c>
      <c r="E88">
        <v>10</v>
      </c>
      <c r="F88">
        <v>30</v>
      </c>
      <c r="G88" t="s">
        <v>135</v>
      </c>
      <c r="H88" t="s">
        <v>153</v>
      </c>
      <c r="I88" s="36" t="str">
        <f>VLOOKUP(A88,N:O,2,0)</f>
        <v>Centronorte</v>
      </c>
      <c r="J88" s="37">
        <f t="shared" si="5"/>
        <v>7.0000000000000007E-2</v>
      </c>
      <c r="K88" s="37">
        <f t="shared" si="3"/>
        <v>0</v>
      </c>
      <c r="L88" s="45">
        <f t="shared" si="4"/>
        <v>0</v>
      </c>
    </row>
    <row r="89" spans="1:12" x14ac:dyDescent="0.35">
      <c r="A89" t="s">
        <v>104</v>
      </c>
      <c r="B89" t="s">
        <v>118</v>
      </c>
      <c r="C89" t="s">
        <v>76</v>
      </c>
      <c r="D89">
        <v>5</v>
      </c>
      <c r="E89">
        <v>10</v>
      </c>
      <c r="F89">
        <v>50</v>
      </c>
      <c r="G89" t="s">
        <v>135</v>
      </c>
      <c r="H89" t="s">
        <v>152</v>
      </c>
      <c r="I89" s="36" t="str">
        <f>VLOOKUP(A89,N:O,2,0)</f>
        <v>SurEste</v>
      </c>
      <c r="J89" s="37">
        <f t="shared" si="5"/>
        <v>7.0000000000000007E-2</v>
      </c>
      <c r="K89" s="37">
        <f t="shared" si="3"/>
        <v>3.5000000000000004</v>
      </c>
      <c r="L89" s="45">
        <f t="shared" si="4"/>
        <v>3.5000000000000004</v>
      </c>
    </row>
    <row r="90" spans="1:12" x14ac:dyDescent="0.35">
      <c r="A90" t="s">
        <v>72</v>
      </c>
      <c r="B90" t="s">
        <v>66</v>
      </c>
      <c r="C90" t="s">
        <v>67</v>
      </c>
      <c r="D90">
        <v>8</v>
      </c>
      <c r="E90">
        <v>5</v>
      </c>
      <c r="F90">
        <v>40</v>
      </c>
      <c r="G90" t="s">
        <v>135</v>
      </c>
      <c r="H90" t="s">
        <v>153</v>
      </c>
      <c r="I90" s="36" t="str">
        <f>VLOOKUP(A90,N:O,2,0)</f>
        <v>Centronorte</v>
      </c>
      <c r="J90" s="37">
        <f t="shared" si="5"/>
        <v>7.0000000000000007E-2</v>
      </c>
      <c r="K90" s="37">
        <f t="shared" si="3"/>
        <v>0</v>
      </c>
      <c r="L90" s="45">
        <f t="shared" si="4"/>
        <v>0</v>
      </c>
    </row>
    <row r="91" spans="1:12" x14ac:dyDescent="0.35">
      <c r="A91" t="s">
        <v>124</v>
      </c>
      <c r="B91" t="s">
        <v>107</v>
      </c>
      <c r="C91" t="s">
        <v>100</v>
      </c>
      <c r="D91">
        <v>5</v>
      </c>
      <c r="E91">
        <v>18</v>
      </c>
      <c r="F91">
        <v>90</v>
      </c>
      <c r="G91" t="s">
        <v>135</v>
      </c>
      <c r="H91" t="s">
        <v>152</v>
      </c>
      <c r="I91" s="36" t="str">
        <f>VLOOKUP(A91,N:O,2,0)</f>
        <v>SurOeste</v>
      </c>
      <c r="J91" s="37">
        <f t="shared" si="5"/>
        <v>0.11</v>
      </c>
      <c r="K91" s="37">
        <f t="shared" si="3"/>
        <v>9.9</v>
      </c>
      <c r="L91" s="45">
        <f t="shared" si="4"/>
        <v>9.9</v>
      </c>
    </row>
    <row r="92" spans="1:12" x14ac:dyDescent="0.35">
      <c r="A92" t="s">
        <v>110</v>
      </c>
      <c r="B92" t="s">
        <v>75</v>
      </c>
      <c r="C92" t="s">
        <v>76</v>
      </c>
      <c r="D92">
        <v>4</v>
      </c>
      <c r="E92">
        <v>20</v>
      </c>
      <c r="F92">
        <v>80</v>
      </c>
      <c r="G92" t="s">
        <v>135</v>
      </c>
      <c r="H92" t="s">
        <v>152</v>
      </c>
      <c r="I92" s="36" t="str">
        <f>VLOOKUP(A92,N:O,2,0)</f>
        <v>Noroeste</v>
      </c>
      <c r="J92" s="37">
        <f t="shared" si="5"/>
        <v>0.05</v>
      </c>
      <c r="K92" s="37">
        <f t="shared" si="3"/>
        <v>4</v>
      </c>
      <c r="L92" s="45">
        <f t="shared" si="4"/>
        <v>4</v>
      </c>
    </row>
    <row r="93" spans="1:12" x14ac:dyDescent="0.35">
      <c r="A93" t="s">
        <v>123</v>
      </c>
      <c r="B93" t="s">
        <v>120</v>
      </c>
      <c r="C93" t="s">
        <v>103</v>
      </c>
      <c r="D93">
        <v>3</v>
      </c>
      <c r="E93">
        <v>9</v>
      </c>
      <c r="F93">
        <v>27</v>
      </c>
      <c r="G93" t="s">
        <v>135</v>
      </c>
      <c r="H93" t="s">
        <v>152</v>
      </c>
      <c r="I93" s="36" t="str">
        <f>VLOOKUP(A93,N:O,2,0)</f>
        <v>Noreste</v>
      </c>
      <c r="J93" s="37">
        <f t="shared" si="5"/>
        <v>0.08</v>
      </c>
      <c r="K93" s="37">
        <f t="shared" si="3"/>
        <v>2.16</v>
      </c>
      <c r="L93" s="45">
        <f t="shared" si="4"/>
        <v>2.16</v>
      </c>
    </row>
    <row r="94" spans="1:12" x14ac:dyDescent="0.35">
      <c r="A94" t="s">
        <v>110</v>
      </c>
      <c r="B94" t="s">
        <v>78</v>
      </c>
      <c r="C94" t="s">
        <v>79</v>
      </c>
      <c r="D94">
        <v>5</v>
      </c>
      <c r="E94">
        <v>18</v>
      </c>
      <c r="F94">
        <v>90</v>
      </c>
      <c r="G94" t="s">
        <v>135</v>
      </c>
      <c r="H94" t="s">
        <v>153</v>
      </c>
      <c r="I94" s="36" t="str">
        <f>VLOOKUP(A94,N:O,2,0)</f>
        <v>Noroeste</v>
      </c>
      <c r="J94" s="37">
        <f t="shared" si="5"/>
        <v>0.05</v>
      </c>
      <c r="K94" s="37">
        <f t="shared" si="3"/>
        <v>0</v>
      </c>
      <c r="L94" s="45">
        <f t="shared" si="4"/>
        <v>0</v>
      </c>
    </row>
    <row r="95" spans="1:12" x14ac:dyDescent="0.35">
      <c r="A95" t="s">
        <v>111</v>
      </c>
      <c r="B95" t="s">
        <v>86</v>
      </c>
      <c r="C95" t="s">
        <v>87</v>
      </c>
      <c r="D95">
        <v>7</v>
      </c>
      <c r="E95">
        <v>10</v>
      </c>
      <c r="F95">
        <v>70</v>
      </c>
      <c r="G95" t="s">
        <v>135</v>
      </c>
      <c r="H95" t="s">
        <v>152</v>
      </c>
      <c r="I95" s="36" t="str">
        <f>VLOOKUP(A95,N:O,2,0)</f>
        <v>Occidente</v>
      </c>
      <c r="J95" s="37">
        <f t="shared" si="5"/>
        <v>0.11</v>
      </c>
      <c r="K95" s="37">
        <f t="shared" si="3"/>
        <v>7.7</v>
      </c>
      <c r="L95" s="45">
        <f t="shared" si="4"/>
        <v>7.7</v>
      </c>
    </row>
    <row r="96" spans="1:12" x14ac:dyDescent="0.35">
      <c r="A96" t="s">
        <v>104</v>
      </c>
      <c r="B96" t="s">
        <v>107</v>
      </c>
      <c r="C96" t="s">
        <v>100</v>
      </c>
      <c r="D96">
        <v>5</v>
      </c>
      <c r="E96">
        <v>8</v>
      </c>
      <c r="F96">
        <v>40</v>
      </c>
      <c r="G96" t="s">
        <v>135</v>
      </c>
      <c r="H96" t="s">
        <v>153</v>
      </c>
      <c r="I96" s="36" t="str">
        <f>VLOOKUP(A96,N:O,2,0)</f>
        <v>SurEste</v>
      </c>
      <c r="J96" s="37">
        <f t="shared" si="5"/>
        <v>7.0000000000000007E-2</v>
      </c>
      <c r="K96" s="37">
        <f t="shared" si="3"/>
        <v>0</v>
      </c>
      <c r="L96" s="45">
        <f t="shared" si="4"/>
        <v>0</v>
      </c>
    </row>
    <row r="97" spans="1:12" x14ac:dyDescent="0.35">
      <c r="A97" t="s">
        <v>91</v>
      </c>
      <c r="B97" t="s">
        <v>73</v>
      </c>
      <c r="C97" t="s">
        <v>74</v>
      </c>
      <c r="D97">
        <v>1</v>
      </c>
      <c r="E97">
        <v>4</v>
      </c>
      <c r="F97">
        <v>4</v>
      </c>
      <c r="G97" t="s">
        <v>135</v>
      </c>
      <c r="H97" t="s">
        <v>153</v>
      </c>
      <c r="I97" s="36" t="str">
        <f>VLOOKUP(A97,N:O,2,0)</f>
        <v>Occidente</v>
      </c>
      <c r="J97" s="37">
        <f t="shared" si="5"/>
        <v>0.11</v>
      </c>
      <c r="K97" s="37">
        <f t="shared" si="3"/>
        <v>0</v>
      </c>
      <c r="L97" s="45">
        <f t="shared" si="4"/>
        <v>0</v>
      </c>
    </row>
    <row r="98" spans="1:12" x14ac:dyDescent="0.35">
      <c r="A98" t="s">
        <v>110</v>
      </c>
      <c r="B98" t="s">
        <v>120</v>
      </c>
      <c r="C98" t="s">
        <v>103</v>
      </c>
      <c r="D98">
        <v>3</v>
      </c>
      <c r="E98">
        <v>17</v>
      </c>
      <c r="F98">
        <v>51</v>
      </c>
      <c r="G98" t="s">
        <v>135</v>
      </c>
      <c r="H98" t="s">
        <v>152</v>
      </c>
      <c r="I98" s="36" t="str">
        <f>VLOOKUP(A98,N:O,2,0)</f>
        <v>Noroeste</v>
      </c>
      <c r="J98" s="37">
        <f t="shared" si="5"/>
        <v>0.05</v>
      </c>
      <c r="K98" s="37">
        <f t="shared" si="3"/>
        <v>2.5500000000000003</v>
      </c>
      <c r="L98" s="45">
        <f t="shared" si="4"/>
        <v>2.5500000000000003</v>
      </c>
    </row>
    <row r="99" spans="1:12" x14ac:dyDescent="0.35">
      <c r="A99" t="s">
        <v>83</v>
      </c>
      <c r="B99" t="s">
        <v>75</v>
      </c>
      <c r="C99" t="s">
        <v>76</v>
      </c>
      <c r="D99">
        <v>4</v>
      </c>
      <c r="E99">
        <v>19</v>
      </c>
      <c r="F99">
        <v>76</v>
      </c>
      <c r="G99" t="s">
        <v>135</v>
      </c>
      <c r="H99" t="s">
        <v>152</v>
      </c>
      <c r="I99" s="36" t="str">
        <f>VLOOKUP(A99,N:O,2,0)</f>
        <v>Centronorte</v>
      </c>
      <c r="J99" s="37">
        <f t="shared" si="5"/>
        <v>7.0000000000000007E-2</v>
      </c>
      <c r="K99" s="37">
        <f t="shared" si="3"/>
        <v>5.32</v>
      </c>
      <c r="L99" s="45">
        <f t="shared" si="4"/>
        <v>5.32</v>
      </c>
    </row>
    <row r="100" spans="1:12" x14ac:dyDescent="0.35">
      <c r="A100" t="s">
        <v>94</v>
      </c>
      <c r="B100" t="s">
        <v>99</v>
      </c>
      <c r="C100" t="s">
        <v>100</v>
      </c>
      <c r="D100">
        <v>9</v>
      </c>
      <c r="E100">
        <v>4</v>
      </c>
      <c r="F100">
        <v>36</v>
      </c>
      <c r="G100" t="s">
        <v>135</v>
      </c>
      <c r="H100" t="s">
        <v>153</v>
      </c>
      <c r="I100" s="36" t="str">
        <f>VLOOKUP(A100,N:O,2,0)</f>
        <v>Noreste</v>
      </c>
      <c r="J100" s="37">
        <f t="shared" si="5"/>
        <v>0.08</v>
      </c>
      <c r="K100" s="37">
        <f t="shared" si="3"/>
        <v>0</v>
      </c>
      <c r="L100" s="45">
        <f t="shared" si="4"/>
        <v>0</v>
      </c>
    </row>
    <row r="101" spans="1:12" x14ac:dyDescent="0.35">
      <c r="A101" t="s">
        <v>122</v>
      </c>
      <c r="B101" t="s">
        <v>84</v>
      </c>
      <c r="C101" t="s">
        <v>82</v>
      </c>
      <c r="D101">
        <v>20</v>
      </c>
      <c r="E101">
        <v>19</v>
      </c>
      <c r="F101">
        <v>380</v>
      </c>
      <c r="G101" t="s">
        <v>137</v>
      </c>
      <c r="H101" t="s">
        <v>153</v>
      </c>
      <c r="I101" s="36" t="str">
        <f>VLOOKUP(A101,N:O,2,0)</f>
        <v>Noroeste</v>
      </c>
      <c r="J101" s="37">
        <f t="shared" si="5"/>
        <v>0.1</v>
      </c>
      <c r="K101" s="37">
        <f t="shared" si="3"/>
        <v>0</v>
      </c>
      <c r="L101" s="45">
        <f t="shared" si="4"/>
        <v>0</v>
      </c>
    </row>
    <row r="102" spans="1:12" x14ac:dyDescent="0.35">
      <c r="A102" t="s">
        <v>108</v>
      </c>
      <c r="B102" t="s">
        <v>69</v>
      </c>
      <c r="C102" t="s">
        <v>70</v>
      </c>
      <c r="D102">
        <v>500</v>
      </c>
      <c r="E102">
        <v>3</v>
      </c>
      <c r="F102">
        <v>1500</v>
      </c>
      <c r="G102" t="s">
        <v>136</v>
      </c>
      <c r="H102" t="s">
        <v>152</v>
      </c>
      <c r="I102" s="36" t="str">
        <f>VLOOKUP(A102,N:O,2,0)</f>
        <v>Occidente</v>
      </c>
      <c r="J102" s="37">
        <f t="shared" si="5"/>
        <v>0.14000000000000001</v>
      </c>
      <c r="K102" s="37">
        <f t="shared" si="3"/>
        <v>210.00000000000003</v>
      </c>
      <c r="L102" s="45">
        <f t="shared" si="4"/>
        <v>210.00000000000003</v>
      </c>
    </row>
    <row r="103" spans="1:12" x14ac:dyDescent="0.35">
      <c r="A103" t="s">
        <v>72</v>
      </c>
      <c r="B103" t="s">
        <v>92</v>
      </c>
      <c r="C103" t="s">
        <v>93</v>
      </c>
      <c r="D103">
        <v>7</v>
      </c>
      <c r="E103">
        <v>14</v>
      </c>
      <c r="F103">
        <v>98</v>
      </c>
      <c r="G103" t="s">
        <v>135</v>
      </c>
      <c r="H103" t="s">
        <v>153</v>
      </c>
      <c r="I103" s="36" t="str">
        <f>VLOOKUP(A103,N:O,2,0)</f>
        <v>Centronorte</v>
      </c>
      <c r="J103" s="37">
        <f t="shared" si="5"/>
        <v>7.0000000000000007E-2</v>
      </c>
      <c r="K103" s="37">
        <f t="shared" si="3"/>
        <v>0</v>
      </c>
      <c r="L103" s="45">
        <f t="shared" si="4"/>
        <v>0</v>
      </c>
    </row>
    <row r="104" spans="1:12" x14ac:dyDescent="0.35">
      <c r="A104" t="s">
        <v>112</v>
      </c>
      <c r="B104" t="s">
        <v>66</v>
      </c>
      <c r="C104" t="s">
        <v>67</v>
      </c>
      <c r="D104">
        <v>8</v>
      </c>
      <c r="E104">
        <v>13</v>
      </c>
      <c r="F104">
        <v>104</v>
      </c>
      <c r="G104" t="s">
        <v>135</v>
      </c>
      <c r="H104" t="s">
        <v>153</v>
      </c>
      <c r="I104" s="36" t="str">
        <f>VLOOKUP(A104,N:O,2,0)</f>
        <v>Centronorte</v>
      </c>
      <c r="J104" s="37">
        <f t="shared" si="5"/>
        <v>7.0000000000000007E-2</v>
      </c>
      <c r="K104" s="37">
        <f t="shared" si="3"/>
        <v>0</v>
      </c>
      <c r="L104" s="45">
        <f t="shared" si="4"/>
        <v>0</v>
      </c>
    </row>
    <row r="105" spans="1:12" x14ac:dyDescent="0.35">
      <c r="A105" t="s">
        <v>112</v>
      </c>
      <c r="B105" t="s">
        <v>73</v>
      </c>
      <c r="C105" t="s">
        <v>74</v>
      </c>
      <c r="D105">
        <v>1</v>
      </c>
      <c r="E105">
        <v>17</v>
      </c>
      <c r="F105">
        <v>17</v>
      </c>
      <c r="G105" t="s">
        <v>135</v>
      </c>
      <c r="H105" t="s">
        <v>153</v>
      </c>
      <c r="I105" s="36" t="str">
        <f>VLOOKUP(A105,N:O,2,0)</f>
        <v>Centronorte</v>
      </c>
      <c r="J105" s="37">
        <f t="shared" si="5"/>
        <v>7.0000000000000007E-2</v>
      </c>
      <c r="K105" s="37">
        <f t="shared" si="3"/>
        <v>0</v>
      </c>
      <c r="L105" s="45">
        <f t="shared" si="4"/>
        <v>0</v>
      </c>
    </row>
    <row r="106" spans="1:12" x14ac:dyDescent="0.35">
      <c r="A106" t="s">
        <v>77</v>
      </c>
      <c r="B106" t="s">
        <v>89</v>
      </c>
      <c r="C106" t="s">
        <v>90</v>
      </c>
      <c r="D106">
        <v>10</v>
      </c>
      <c r="E106">
        <v>16</v>
      </c>
      <c r="F106">
        <v>160</v>
      </c>
      <c r="G106" t="s">
        <v>135</v>
      </c>
      <c r="H106" t="s">
        <v>153</v>
      </c>
      <c r="I106" s="36" t="str">
        <f>VLOOKUP(A106,N:O,2,0)</f>
        <v>Noreste</v>
      </c>
      <c r="J106" s="37">
        <f t="shared" si="5"/>
        <v>0.08</v>
      </c>
      <c r="K106" s="37">
        <f t="shared" si="3"/>
        <v>0</v>
      </c>
      <c r="L106" s="45">
        <f t="shared" si="4"/>
        <v>0</v>
      </c>
    </row>
    <row r="107" spans="1:12" x14ac:dyDescent="0.35">
      <c r="A107" t="s">
        <v>119</v>
      </c>
      <c r="B107" t="s">
        <v>78</v>
      </c>
      <c r="C107" t="s">
        <v>79</v>
      </c>
      <c r="D107">
        <v>5</v>
      </c>
      <c r="E107">
        <v>10</v>
      </c>
      <c r="F107">
        <v>50</v>
      </c>
      <c r="G107" t="s">
        <v>135</v>
      </c>
      <c r="H107" t="s">
        <v>153</v>
      </c>
      <c r="I107" s="36" t="str">
        <f>VLOOKUP(A107,N:O,2,0)</f>
        <v>Occidente</v>
      </c>
      <c r="J107" s="37">
        <f t="shared" si="5"/>
        <v>0.11</v>
      </c>
      <c r="K107" s="37">
        <f t="shared" si="3"/>
        <v>0</v>
      </c>
      <c r="L107" s="45">
        <f t="shared" si="4"/>
        <v>0</v>
      </c>
    </row>
    <row r="108" spans="1:12" x14ac:dyDescent="0.35">
      <c r="A108" t="s">
        <v>68</v>
      </c>
      <c r="B108" t="s">
        <v>92</v>
      </c>
      <c r="C108" t="s">
        <v>93</v>
      </c>
      <c r="D108">
        <v>7</v>
      </c>
      <c r="E108">
        <v>20</v>
      </c>
      <c r="F108">
        <v>140</v>
      </c>
      <c r="G108" t="s">
        <v>135</v>
      </c>
      <c r="H108" t="s">
        <v>152</v>
      </c>
      <c r="I108" s="36" t="str">
        <f>VLOOKUP(A108,N:O,2,0)</f>
        <v>Noroeste</v>
      </c>
      <c r="J108" s="37">
        <f t="shared" si="5"/>
        <v>0.05</v>
      </c>
      <c r="K108" s="37">
        <f t="shared" si="3"/>
        <v>7</v>
      </c>
      <c r="L108" s="45">
        <f t="shared" si="4"/>
        <v>7</v>
      </c>
    </row>
    <row r="109" spans="1:12" x14ac:dyDescent="0.35">
      <c r="A109" t="s">
        <v>112</v>
      </c>
      <c r="B109" t="s">
        <v>120</v>
      </c>
      <c r="C109" t="s">
        <v>103</v>
      </c>
      <c r="D109">
        <v>3</v>
      </c>
      <c r="E109">
        <v>17</v>
      </c>
      <c r="F109">
        <v>51</v>
      </c>
      <c r="G109" t="s">
        <v>135</v>
      </c>
      <c r="H109" t="s">
        <v>153</v>
      </c>
      <c r="I109" s="36" t="str">
        <f>VLOOKUP(A109,N:O,2,0)</f>
        <v>Centronorte</v>
      </c>
      <c r="J109" s="37">
        <f t="shared" si="5"/>
        <v>7.0000000000000007E-2</v>
      </c>
      <c r="K109" s="37">
        <f t="shared" si="3"/>
        <v>0</v>
      </c>
      <c r="L109" s="45">
        <f t="shared" si="4"/>
        <v>0</v>
      </c>
    </row>
    <row r="110" spans="1:12" x14ac:dyDescent="0.35">
      <c r="A110" t="s">
        <v>104</v>
      </c>
      <c r="B110" t="s">
        <v>118</v>
      </c>
      <c r="C110" t="s">
        <v>76</v>
      </c>
      <c r="D110">
        <v>5</v>
      </c>
      <c r="E110">
        <v>13</v>
      </c>
      <c r="F110">
        <v>65</v>
      </c>
      <c r="G110" t="s">
        <v>135</v>
      </c>
      <c r="H110" t="s">
        <v>152</v>
      </c>
      <c r="I110" s="36" t="str">
        <f>VLOOKUP(A110,N:O,2,0)</f>
        <v>SurEste</v>
      </c>
      <c r="J110" s="37">
        <f t="shared" si="5"/>
        <v>7.0000000000000007E-2</v>
      </c>
      <c r="K110" s="37">
        <f t="shared" si="3"/>
        <v>4.5500000000000007</v>
      </c>
      <c r="L110" s="45">
        <f t="shared" si="4"/>
        <v>4.5500000000000007</v>
      </c>
    </row>
    <row r="111" spans="1:12" x14ac:dyDescent="0.35">
      <c r="A111" t="s">
        <v>72</v>
      </c>
      <c r="B111" t="s">
        <v>113</v>
      </c>
      <c r="C111" t="s">
        <v>90</v>
      </c>
      <c r="D111">
        <v>8</v>
      </c>
      <c r="E111">
        <v>7</v>
      </c>
      <c r="F111">
        <v>56</v>
      </c>
      <c r="G111" t="s">
        <v>135</v>
      </c>
      <c r="H111" t="s">
        <v>153</v>
      </c>
      <c r="I111" s="36" t="str">
        <f>VLOOKUP(A111,N:O,2,0)</f>
        <v>Centronorte</v>
      </c>
      <c r="J111" s="37">
        <f t="shared" si="5"/>
        <v>7.0000000000000007E-2</v>
      </c>
      <c r="K111" s="37">
        <f t="shared" si="3"/>
        <v>0</v>
      </c>
      <c r="L111" s="45">
        <f t="shared" si="4"/>
        <v>0</v>
      </c>
    </row>
    <row r="112" spans="1:12" x14ac:dyDescent="0.35">
      <c r="A112" t="s">
        <v>72</v>
      </c>
      <c r="B112" t="s">
        <v>92</v>
      </c>
      <c r="C112" t="s">
        <v>93</v>
      </c>
      <c r="D112">
        <v>7</v>
      </c>
      <c r="E112">
        <v>11</v>
      </c>
      <c r="F112">
        <v>77</v>
      </c>
      <c r="G112" t="s">
        <v>135</v>
      </c>
      <c r="H112" t="s">
        <v>153</v>
      </c>
      <c r="I112" s="36" t="str">
        <f>VLOOKUP(A112,N:O,2,0)</f>
        <v>Centronorte</v>
      </c>
      <c r="J112" s="37">
        <f t="shared" si="5"/>
        <v>7.0000000000000007E-2</v>
      </c>
      <c r="K112" s="37">
        <f t="shared" si="3"/>
        <v>0</v>
      </c>
      <c r="L112" s="45">
        <f t="shared" si="4"/>
        <v>0</v>
      </c>
    </row>
    <row r="113" spans="1:12" x14ac:dyDescent="0.35">
      <c r="A113" t="s">
        <v>94</v>
      </c>
      <c r="B113" t="s">
        <v>81</v>
      </c>
      <c r="C113" t="s">
        <v>82</v>
      </c>
      <c r="D113">
        <v>14</v>
      </c>
      <c r="E113">
        <v>16</v>
      </c>
      <c r="F113">
        <v>224</v>
      </c>
      <c r="G113" t="s">
        <v>137</v>
      </c>
      <c r="H113" t="s">
        <v>152</v>
      </c>
      <c r="I113" s="36" t="str">
        <f>VLOOKUP(A113,N:O,2,0)</f>
        <v>Noreste</v>
      </c>
      <c r="J113" s="37">
        <f t="shared" si="5"/>
        <v>0.14000000000000001</v>
      </c>
      <c r="K113" s="37">
        <f t="shared" si="3"/>
        <v>31.360000000000003</v>
      </c>
      <c r="L113" s="45">
        <f t="shared" si="4"/>
        <v>31.360000000000003</v>
      </c>
    </row>
    <row r="114" spans="1:12" x14ac:dyDescent="0.35">
      <c r="A114" t="s">
        <v>114</v>
      </c>
      <c r="B114" t="s">
        <v>86</v>
      </c>
      <c r="C114" t="s">
        <v>87</v>
      </c>
      <c r="D114">
        <v>7</v>
      </c>
      <c r="E114">
        <v>14</v>
      </c>
      <c r="F114">
        <v>98</v>
      </c>
      <c r="G114" t="s">
        <v>135</v>
      </c>
      <c r="H114" t="s">
        <v>153</v>
      </c>
      <c r="I114" s="36" t="str">
        <f>VLOOKUP(A114,N:O,2,0)</f>
        <v>SurOeste</v>
      </c>
      <c r="J114" s="37">
        <f t="shared" si="5"/>
        <v>0.11</v>
      </c>
      <c r="K114" s="37">
        <f t="shared" si="3"/>
        <v>0</v>
      </c>
      <c r="L114" s="45">
        <f t="shared" si="4"/>
        <v>0</v>
      </c>
    </row>
    <row r="115" spans="1:12" x14ac:dyDescent="0.35">
      <c r="A115" t="s">
        <v>125</v>
      </c>
      <c r="B115" t="s">
        <v>73</v>
      </c>
      <c r="C115" t="s">
        <v>74</v>
      </c>
      <c r="D115">
        <v>1</v>
      </c>
      <c r="E115">
        <v>18</v>
      </c>
      <c r="F115">
        <v>18</v>
      </c>
      <c r="G115" t="s">
        <v>135</v>
      </c>
      <c r="H115" t="s">
        <v>153</v>
      </c>
      <c r="I115" s="36" t="str">
        <f>VLOOKUP(A115,N:O,2,0)</f>
        <v>Noroeste</v>
      </c>
      <c r="J115" s="37">
        <f t="shared" si="5"/>
        <v>0.05</v>
      </c>
      <c r="K115" s="37">
        <f t="shared" si="3"/>
        <v>0</v>
      </c>
      <c r="L115" s="45">
        <f t="shared" si="4"/>
        <v>0</v>
      </c>
    </row>
    <row r="116" spans="1:12" x14ac:dyDescent="0.35">
      <c r="A116" t="s">
        <v>91</v>
      </c>
      <c r="B116" t="s">
        <v>96</v>
      </c>
      <c r="C116" t="s">
        <v>97</v>
      </c>
      <c r="D116">
        <v>19</v>
      </c>
      <c r="E116">
        <v>7</v>
      </c>
      <c r="F116">
        <v>133</v>
      </c>
      <c r="G116" t="s">
        <v>137</v>
      </c>
      <c r="H116" t="s">
        <v>153</v>
      </c>
      <c r="I116" s="36" t="str">
        <f>VLOOKUP(A116,N:O,2,0)</f>
        <v>Occidente</v>
      </c>
      <c r="J116" s="37">
        <f t="shared" si="5"/>
        <v>0.04</v>
      </c>
      <c r="K116" s="37">
        <f t="shared" si="3"/>
        <v>0</v>
      </c>
      <c r="L116" s="45">
        <f t="shared" si="4"/>
        <v>0</v>
      </c>
    </row>
    <row r="117" spans="1:12" x14ac:dyDescent="0.35">
      <c r="A117" t="s">
        <v>72</v>
      </c>
      <c r="B117" t="s">
        <v>126</v>
      </c>
      <c r="C117" t="s">
        <v>82</v>
      </c>
      <c r="D117">
        <v>13</v>
      </c>
      <c r="E117">
        <v>6</v>
      </c>
      <c r="F117">
        <v>78</v>
      </c>
      <c r="G117" t="s">
        <v>137</v>
      </c>
      <c r="H117" t="s">
        <v>152</v>
      </c>
      <c r="I117" s="36" t="str">
        <f>VLOOKUP(A117,N:O,2,0)</f>
        <v>Centronorte</v>
      </c>
      <c r="J117" s="37">
        <f t="shared" si="5"/>
        <v>0.09</v>
      </c>
      <c r="K117" s="37">
        <f t="shared" si="3"/>
        <v>7.02</v>
      </c>
      <c r="L117" s="45">
        <f t="shared" si="4"/>
        <v>7.02</v>
      </c>
    </row>
    <row r="118" spans="1:12" x14ac:dyDescent="0.35">
      <c r="A118" t="s">
        <v>71</v>
      </c>
      <c r="B118" t="s">
        <v>84</v>
      </c>
      <c r="C118" t="s">
        <v>82</v>
      </c>
      <c r="D118">
        <v>20</v>
      </c>
      <c r="E118">
        <v>6</v>
      </c>
      <c r="F118">
        <v>120</v>
      </c>
      <c r="G118" t="s">
        <v>137</v>
      </c>
      <c r="H118" t="s">
        <v>153</v>
      </c>
      <c r="I118" s="36" t="str">
        <f>VLOOKUP(A118,N:O,2,0)</f>
        <v>Noroeste</v>
      </c>
      <c r="J118" s="37">
        <f t="shared" si="5"/>
        <v>0.1</v>
      </c>
      <c r="K118" s="37">
        <f t="shared" si="3"/>
        <v>0</v>
      </c>
      <c r="L118" s="45">
        <f t="shared" si="4"/>
        <v>0</v>
      </c>
    </row>
    <row r="119" spans="1:12" x14ac:dyDescent="0.35">
      <c r="A119" t="s">
        <v>83</v>
      </c>
      <c r="B119" t="s">
        <v>81</v>
      </c>
      <c r="C119" t="s">
        <v>82</v>
      </c>
      <c r="D119">
        <v>14</v>
      </c>
      <c r="E119">
        <v>16</v>
      </c>
      <c r="F119">
        <v>224</v>
      </c>
      <c r="G119" t="s">
        <v>137</v>
      </c>
      <c r="H119" t="s">
        <v>153</v>
      </c>
      <c r="I119" s="36" t="str">
        <f>VLOOKUP(A119,N:O,2,0)</f>
        <v>Centronorte</v>
      </c>
      <c r="J119" s="37">
        <f t="shared" si="5"/>
        <v>0.09</v>
      </c>
      <c r="K119" s="37">
        <f t="shared" si="3"/>
        <v>0</v>
      </c>
      <c r="L119" s="45">
        <f t="shared" si="4"/>
        <v>0</v>
      </c>
    </row>
    <row r="120" spans="1:12" x14ac:dyDescent="0.35">
      <c r="A120" t="s">
        <v>123</v>
      </c>
      <c r="B120" t="s">
        <v>96</v>
      </c>
      <c r="C120" t="s">
        <v>97</v>
      </c>
      <c r="D120">
        <v>19</v>
      </c>
      <c r="E120">
        <v>15</v>
      </c>
      <c r="F120">
        <v>285</v>
      </c>
      <c r="G120" t="s">
        <v>137</v>
      </c>
      <c r="H120" t="s">
        <v>152</v>
      </c>
      <c r="I120" s="36" t="str">
        <f>VLOOKUP(A120,N:O,2,0)</f>
        <v>Noreste</v>
      </c>
      <c r="J120" s="37">
        <f t="shared" si="5"/>
        <v>0.14000000000000001</v>
      </c>
      <c r="K120" s="37">
        <f t="shared" si="3"/>
        <v>39.900000000000006</v>
      </c>
      <c r="L120" s="45">
        <f t="shared" si="4"/>
        <v>39.900000000000006</v>
      </c>
    </row>
    <row r="121" spans="1:12" x14ac:dyDescent="0.35">
      <c r="A121" t="s">
        <v>124</v>
      </c>
      <c r="B121" t="s">
        <v>113</v>
      </c>
      <c r="C121" t="s">
        <v>90</v>
      </c>
      <c r="D121">
        <v>8</v>
      </c>
      <c r="E121">
        <v>9</v>
      </c>
      <c r="F121">
        <v>72</v>
      </c>
      <c r="G121" t="s">
        <v>135</v>
      </c>
      <c r="H121" t="s">
        <v>152</v>
      </c>
      <c r="I121" s="36" t="str">
        <f>VLOOKUP(A121,N:O,2,0)</f>
        <v>SurOeste</v>
      </c>
      <c r="J121" s="37">
        <f t="shared" si="5"/>
        <v>0.11</v>
      </c>
      <c r="K121" s="37">
        <f t="shared" si="3"/>
        <v>7.92</v>
      </c>
      <c r="L121" s="45">
        <f t="shared" si="4"/>
        <v>7.92</v>
      </c>
    </row>
    <row r="122" spans="1:12" x14ac:dyDescent="0.35">
      <c r="A122" t="s">
        <v>72</v>
      </c>
      <c r="B122" t="s">
        <v>66</v>
      </c>
      <c r="C122" t="s">
        <v>67</v>
      </c>
      <c r="D122">
        <v>8</v>
      </c>
      <c r="E122">
        <v>13</v>
      </c>
      <c r="F122">
        <v>104</v>
      </c>
      <c r="G122" t="s">
        <v>135</v>
      </c>
      <c r="H122" t="s">
        <v>152</v>
      </c>
      <c r="I122" s="36" t="str">
        <f>VLOOKUP(A122,N:O,2,0)</f>
        <v>Centronorte</v>
      </c>
      <c r="J122" s="37">
        <f t="shared" si="5"/>
        <v>7.0000000000000007E-2</v>
      </c>
      <c r="K122" s="37">
        <f t="shared" si="3"/>
        <v>7.2800000000000011</v>
      </c>
      <c r="L122" s="45">
        <f t="shared" si="4"/>
        <v>7.2800000000000011</v>
      </c>
    </row>
    <row r="123" spans="1:12" x14ac:dyDescent="0.35">
      <c r="A123" t="s">
        <v>121</v>
      </c>
      <c r="B123" t="s">
        <v>86</v>
      </c>
      <c r="C123" t="s">
        <v>87</v>
      </c>
      <c r="D123">
        <v>7</v>
      </c>
      <c r="E123">
        <v>8</v>
      </c>
      <c r="F123">
        <v>56</v>
      </c>
      <c r="G123" t="s">
        <v>135</v>
      </c>
      <c r="H123" t="s">
        <v>153</v>
      </c>
      <c r="I123" s="36" t="str">
        <f>VLOOKUP(A123,N:O,2,0)</f>
        <v>Oriente</v>
      </c>
      <c r="J123" s="37">
        <f t="shared" si="5"/>
        <v>7.0000000000000007E-2</v>
      </c>
      <c r="K123" s="37">
        <f t="shared" si="3"/>
        <v>0</v>
      </c>
      <c r="L123" s="45">
        <f t="shared" si="4"/>
        <v>0</v>
      </c>
    </row>
    <row r="124" spans="1:12" x14ac:dyDescent="0.35">
      <c r="A124" t="s">
        <v>125</v>
      </c>
      <c r="B124" t="s">
        <v>107</v>
      </c>
      <c r="C124" t="s">
        <v>100</v>
      </c>
      <c r="D124">
        <v>5</v>
      </c>
      <c r="E124">
        <v>5</v>
      </c>
      <c r="F124">
        <v>25</v>
      </c>
      <c r="G124" t="s">
        <v>135</v>
      </c>
      <c r="H124" t="s">
        <v>152</v>
      </c>
      <c r="I124" s="36" t="str">
        <f>VLOOKUP(A124,N:O,2,0)</f>
        <v>Noroeste</v>
      </c>
      <c r="J124" s="37">
        <f t="shared" si="5"/>
        <v>0.05</v>
      </c>
      <c r="K124" s="37">
        <f t="shared" si="3"/>
        <v>1.25</v>
      </c>
      <c r="L124" s="45">
        <f t="shared" si="4"/>
        <v>1.25</v>
      </c>
    </row>
    <row r="125" spans="1:12" x14ac:dyDescent="0.35">
      <c r="A125" t="s">
        <v>123</v>
      </c>
      <c r="B125" t="s">
        <v>120</v>
      </c>
      <c r="C125" t="s">
        <v>103</v>
      </c>
      <c r="D125">
        <v>3</v>
      </c>
      <c r="E125">
        <v>14</v>
      </c>
      <c r="F125">
        <v>42</v>
      </c>
      <c r="G125" t="s">
        <v>135</v>
      </c>
      <c r="H125" t="s">
        <v>153</v>
      </c>
      <c r="I125" s="36" t="str">
        <f>VLOOKUP(A125,N:O,2,0)</f>
        <v>Noreste</v>
      </c>
      <c r="J125" s="37">
        <f t="shared" si="5"/>
        <v>0.08</v>
      </c>
      <c r="K125" s="37">
        <f t="shared" si="3"/>
        <v>0</v>
      </c>
      <c r="L125" s="45">
        <f t="shared" si="4"/>
        <v>0</v>
      </c>
    </row>
    <row r="126" spans="1:12" x14ac:dyDescent="0.35">
      <c r="A126" t="s">
        <v>121</v>
      </c>
      <c r="B126" t="s">
        <v>86</v>
      </c>
      <c r="C126" t="s">
        <v>87</v>
      </c>
      <c r="D126">
        <v>7</v>
      </c>
      <c r="E126">
        <v>8</v>
      </c>
      <c r="F126">
        <v>56</v>
      </c>
      <c r="G126" t="s">
        <v>135</v>
      </c>
      <c r="H126" t="s">
        <v>152</v>
      </c>
      <c r="I126" s="36" t="str">
        <f>VLOOKUP(A126,N:O,2,0)</f>
        <v>Oriente</v>
      </c>
      <c r="J126" s="37">
        <f t="shared" si="5"/>
        <v>7.0000000000000007E-2</v>
      </c>
      <c r="K126" s="37">
        <f t="shared" si="3"/>
        <v>3.9200000000000004</v>
      </c>
      <c r="L126" s="45">
        <f t="shared" si="4"/>
        <v>3.9200000000000004</v>
      </c>
    </row>
    <row r="127" spans="1:12" x14ac:dyDescent="0.35">
      <c r="A127" t="s">
        <v>125</v>
      </c>
      <c r="B127" t="s">
        <v>96</v>
      </c>
      <c r="C127" t="s">
        <v>97</v>
      </c>
      <c r="D127">
        <v>19</v>
      </c>
      <c r="E127">
        <v>16</v>
      </c>
      <c r="F127">
        <v>304</v>
      </c>
      <c r="G127" t="s">
        <v>137</v>
      </c>
      <c r="H127" t="s">
        <v>153</v>
      </c>
      <c r="I127" s="36" t="str">
        <f>VLOOKUP(A127,N:O,2,0)</f>
        <v>Noroeste</v>
      </c>
      <c r="J127" s="37">
        <f t="shared" si="5"/>
        <v>0.1</v>
      </c>
      <c r="K127" s="37">
        <f t="shared" si="3"/>
        <v>0</v>
      </c>
      <c r="L127" s="45">
        <f t="shared" si="4"/>
        <v>0</v>
      </c>
    </row>
    <row r="128" spans="1:12" x14ac:dyDescent="0.35">
      <c r="A128" t="s">
        <v>94</v>
      </c>
      <c r="B128" t="s">
        <v>126</v>
      </c>
      <c r="C128" t="s">
        <v>82</v>
      </c>
      <c r="D128">
        <v>13</v>
      </c>
      <c r="E128">
        <v>11</v>
      </c>
      <c r="F128">
        <v>143</v>
      </c>
      <c r="G128" t="s">
        <v>137</v>
      </c>
      <c r="H128" t="s">
        <v>153</v>
      </c>
      <c r="I128" s="36" t="str">
        <f>VLOOKUP(A128,N:O,2,0)</f>
        <v>Noreste</v>
      </c>
      <c r="J128" s="37">
        <f t="shared" si="5"/>
        <v>0.14000000000000001</v>
      </c>
      <c r="K128" s="37">
        <f t="shared" si="3"/>
        <v>0</v>
      </c>
      <c r="L128" s="45">
        <f t="shared" si="4"/>
        <v>0</v>
      </c>
    </row>
    <row r="129" spans="1:12" x14ac:dyDescent="0.35">
      <c r="A129" t="s">
        <v>123</v>
      </c>
      <c r="B129" t="s">
        <v>84</v>
      </c>
      <c r="C129" t="s">
        <v>82</v>
      </c>
      <c r="D129">
        <v>20</v>
      </c>
      <c r="E129">
        <v>14</v>
      </c>
      <c r="F129">
        <v>280</v>
      </c>
      <c r="G129" t="s">
        <v>137</v>
      </c>
      <c r="H129" t="s">
        <v>152</v>
      </c>
      <c r="I129" s="36" t="str">
        <f>VLOOKUP(A129,N:O,2,0)</f>
        <v>Noreste</v>
      </c>
      <c r="J129" s="37">
        <f t="shared" si="5"/>
        <v>0.14000000000000001</v>
      </c>
      <c r="K129" s="37">
        <f t="shared" si="3"/>
        <v>39.200000000000003</v>
      </c>
      <c r="L129" s="45">
        <f t="shared" si="4"/>
        <v>39.200000000000003</v>
      </c>
    </row>
    <row r="130" spans="1:12" x14ac:dyDescent="0.35">
      <c r="A130" t="s">
        <v>104</v>
      </c>
      <c r="B130" t="s">
        <v>113</v>
      </c>
      <c r="C130" t="s">
        <v>90</v>
      </c>
      <c r="D130">
        <v>8</v>
      </c>
      <c r="E130">
        <v>18</v>
      </c>
      <c r="F130">
        <v>144</v>
      </c>
      <c r="G130" t="s">
        <v>135</v>
      </c>
      <c r="H130" t="s">
        <v>153</v>
      </c>
      <c r="I130" s="36" t="str">
        <f>VLOOKUP(A130,N:O,2,0)</f>
        <v>SurEste</v>
      </c>
      <c r="J130" s="37">
        <f t="shared" si="5"/>
        <v>7.0000000000000007E-2</v>
      </c>
      <c r="K130" s="37">
        <f t="shared" si="3"/>
        <v>0</v>
      </c>
      <c r="L130" s="45">
        <f t="shared" si="4"/>
        <v>0</v>
      </c>
    </row>
    <row r="131" spans="1:12" x14ac:dyDescent="0.35">
      <c r="A131" t="s">
        <v>112</v>
      </c>
      <c r="B131" t="s">
        <v>69</v>
      </c>
      <c r="C131" t="s">
        <v>70</v>
      </c>
      <c r="D131">
        <v>500</v>
      </c>
      <c r="E131">
        <v>9</v>
      </c>
      <c r="F131">
        <v>4500</v>
      </c>
      <c r="G131" t="s">
        <v>136</v>
      </c>
      <c r="H131" t="s">
        <v>152</v>
      </c>
      <c r="I131" s="36" t="str">
        <f>VLOOKUP(A131,N:O,2,0)</f>
        <v>Centronorte</v>
      </c>
      <c r="J131" s="37">
        <f t="shared" si="5"/>
        <v>0.12</v>
      </c>
      <c r="K131" s="37">
        <f t="shared" si="3"/>
        <v>540</v>
      </c>
      <c r="L131" s="45">
        <f t="shared" si="4"/>
        <v>540</v>
      </c>
    </row>
    <row r="132" spans="1:12" x14ac:dyDescent="0.35">
      <c r="A132" t="s">
        <v>112</v>
      </c>
      <c r="B132" t="s">
        <v>118</v>
      </c>
      <c r="C132" t="s">
        <v>76</v>
      </c>
      <c r="D132">
        <v>5</v>
      </c>
      <c r="E132">
        <v>12</v>
      </c>
      <c r="F132">
        <v>60</v>
      </c>
      <c r="G132" t="s">
        <v>135</v>
      </c>
      <c r="H132" t="s">
        <v>153</v>
      </c>
      <c r="I132" s="36" t="str">
        <f>VLOOKUP(A132,N:O,2,0)</f>
        <v>Centronorte</v>
      </c>
      <c r="J132" s="37">
        <f t="shared" si="5"/>
        <v>7.0000000000000007E-2</v>
      </c>
      <c r="K132" s="37">
        <f t="shared" ref="K132:K188" si="6">IF(H132="No aplica impuestos",0,J132*F132)</f>
        <v>0</v>
      </c>
      <c r="L132" s="45">
        <f t="shared" ref="L132:L188" si="7">K132</f>
        <v>0</v>
      </c>
    </row>
    <row r="133" spans="1:12" x14ac:dyDescent="0.35">
      <c r="A133" t="s">
        <v>122</v>
      </c>
      <c r="B133" t="s">
        <v>78</v>
      </c>
      <c r="C133" t="s">
        <v>79</v>
      </c>
      <c r="D133">
        <v>5</v>
      </c>
      <c r="E133">
        <v>4</v>
      </c>
      <c r="F133">
        <v>20</v>
      </c>
      <c r="G133" t="s">
        <v>135</v>
      </c>
      <c r="H133" t="s">
        <v>153</v>
      </c>
      <c r="I133" s="36" t="str">
        <f>VLOOKUP(A133,N:O,2,0)</f>
        <v>Noroeste</v>
      </c>
      <c r="J133" s="37">
        <f t="shared" ref="J133:J188" si="8">VLOOKUP(I133,$Q$2:$U$11,HLOOKUP(G133,$R$2:$U$3,2,0),0)</f>
        <v>0.05</v>
      </c>
      <c r="K133" s="37">
        <f t="shared" si="6"/>
        <v>0</v>
      </c>
      <c r="L133" s="45">
        <f t="shared" si="7"/>
        <v>0</v>
      </c>
    </row>
    <row r="134" spans="1:12" x14ac:dyDescent="0.35">
      <c r="A134" t="s">
        <v>119</v>
      </c>
      <c r="B134" t="s">
        <v>120</v>
      </c>
      <c r="C134" t="s">
        <v>103</v>
      </c>
      <c r="D134">
        <v>3</v>
      </c>
      <c r="E134">
        <v>6</v>
      </c>
      <c r="F134">
        <v>18</v>
      </c>
      <c r="G134" t="s">
        <v>135</v>
      </c>
      <c r="H134" t="s">
        <v>153</v>
      </c>
      <c r="I134" s="36" t="str">
        <f>VLOOKUP(A134,N:O,2,0)</f>
        <v>Occidente</v>
      </c>
      <c r="J134" s="37">
        <f t="shared" si="8"/>
        <v>0.11</v>
      </c>
      <c r="K134" s="37">
        <f t="shared" si="6"/>
        <v>0</v>
      </c>
      <c r="L134" s="45">
        <f t="shared" si="7"/>
        <v>0</v>
      </c>
    </row>
    <row r="135" spans="1:12" x14ac:dyDescent="0.35">
      <c r="A135" t="s">
        <v>119</v>
      </c>
      <c r="B135" t="s">
        <v>81</v>
      </c>
      <c r="C135" t="s">
        <v>82</v>
      </c>
      <c r="D135">
        <v>14</v>
      </c>
      <c r="E135">
        <v>9</v>
      </c>
      <c r="F135">
        <v>126</v>
      </c>
      <c r="G135" t="s">
        <v>137</v>
      </c>
      <c r="H135" t="s">
        <v>153</v>
      </c>
      <c r="I135" s="36" t="str">
        <f>VLOOKUP(A135,N:O,2,0)</f>
        <v>Occidente</v>
      </c>
      <c r="J135" s="37">
        <f t="shared" si="8"/>
        <v>0.04</v>
      </c>
      <c r="K135" s="37">
        <f t="shared" si="6"/>
        <v>0</v>
      </c>
      <c r="L135" s="45">
        <f t="shared" si="7"/>
        <v>0</v>
      </c>
    </row>
    <row r="136" spans="1:12" x14ac:dyDescent="0.35">
      <c r="A136" t="s">
        <v>124</v>
      </c>
      <c r="B136" t="s">
        <v>115</v>
      </c>
      <c r="C136" t="s">
        <v>97</v>
      </c>
      <c r="D136">
        <v>11</v>
      </c>
      <c r="E136">
        <v>9</v>
      </c>
      <c r="F136">
        <v>99</v>
      </c>
      <c r="G136" t="s">
        <v>135</v>
      </c>
      <c r="H136" t="s">
        <v>153</v>
      </c>
      <c r="I136" s="36" t="str">
        <f>VLOOKUP(A136,N:O,2,0)</f>
        <v>SurOeste</v>
      </c>
      <c r="J136" s="37">
        <f t="shared" si="8"/>
        <v>0.11</v>
      </c>
      <c r="K136" s="37">
        <f t="shared" si="6"/>
        <v>0</v>
      </c>
      <c r="L136" s="45">
        <f t="shared" si="7"/>
        <v>0</v>
      </c>
    </row>
    <row r="137" spans="1:12" x14ac:dyDescent="0.35">
      <c r="A137" t="s">
        <v>95</v>
      </c>
      <c r="B137" t="s">
        <v>81</v>
      </c>
      <c r="C137" t="s">
        <v>82</v>
      </c>
      <c r="D137">
        <v>14</v>
      </c>
      <c r="E137">
        <v>3</v>
      </c>
      <c r="F137">
        <v>42</v>
      </c>
      <c r="G137" t="s">
        <v>137</v>
      </c>
      <c r="H137" t="s">
        <v>152</v>
      </c>
      <c r="I137" s="36" t="str">
        <f>VLOOKUP(A137,N:O,2,0)</f>
        <v>SurEste</v>
      </c>
      <c r="J137" s="37">
        <f t="shared" si="8"/>
        <v>7.0000000000000007E-2</v>
      </c>
      <c r="K137" s="37">
        <f t="shared" si="6"/>
        <v>2.9400000000000004</v>
      </c>
      <c r="L137" s="45">
        <f t="shared" si="7"/>
        <v>2.9400000000000004</v>
      </c>
    </row>
    <row r="138" spans="1:12" x14ac:dyDescent="0.35">
      <c r="A138" t="s">
        <v>71</v>
      </c>
      <c r="B138" t="s">
        <v>66</v>
      </c>
      <c r="C138" t="s">
        <v>67</v>
      </c>
      <c r="D138">
        <v>8</v>
      </c>
      <c r="E138">
        <v>19</v>
      </c>
      <c r="F138">
        <v>152</v>
      </c>
      <c r="G138" t="s">
        <v>135</v>
      </c>
      <c r="H138" t="s">
        <v>153</v>
      </c>
      <c r="I138" s="36" t="str">
        <f>VLOOKUP(A138,N:O,2,0)</f>
        <v>Noroeste</v>
      </c>
      <c r="J138" s="37">
        <f t="shared" si="8"/>
        <v>0.05</v>
      </c>
      <c r="K138" s="37">
        <f t="shared" si="6"/>
        <v>0</v>
      </c>
      <c r="L138" s="45">
        <f t="shared" si="7"/>
        <v>0</v>
      </c>
    </row>
    <row r="139" spans="1:12" x14ac:dyDescent="0.35">
      <c r="A139" t="s">
        <v>116</v>
      </c>
      <c r="B139" t="s">
        <v>107</v>
      </c>
      <c r="C139" t="s">
        <v>100</v>
      </c>
      <c r="D139">
        <v>5</v>
      </c>
      <c r="E139">
        <v>3</v>
      </c>
      <c r="F139">
        <v>15</v>
      </c>
      <c r="G139" t="s">
        <v>135</v>
      </c>
      <c r="H139" t="s">
        <v>153</v>
      </c>
      <c r="I139" s="36" t="str">
        <f>VLOOKUP(A139,N:O,2,0)</f>
        <v>Oriente</v>
      </c>
      <c r="J139" s="37">
        <f t="shared" si="8"/>
        <v>7.0000000000000007E-2</v>
      </c>
      <c r="K139" s="37">
        <f t="shared" si="6"/>
        <v>0</v>
      </c>
      <c r="L139" s="45">
        <f t="shared" si="7"/>
        <v>0</v>
      </c>
    </row>
    <row r="140" spans="1:12" x14ac:dyDescent="0.35">
      <c r="A140" t="s">
        <v>125</v>
      </c>
      <c r="B140" t="s">
        <v>115</v>
      </c>
      <c r="C140" t="s">
        <v>97</v>
      </c>
      <c r="D140">
        <v>11</v>
      </c>
      <c r="E140">
        <v>8</v>
      </c>
      <c r="F140">
        <v>88</v>
      </c>
      <c r="G140" t="s">
        <v>135</v>
      </c>
      <c r="H140" t="s">
        <v>152</v>
      </c>
      <c r="I140" s="36" t="str">
        <f>VLOOKUP(A140,N:O,2,0)</f>
        <v>Noroeste</v>
      </c>
      <c r="J140" s="37">
        <f t="shared" si="8"/>
        <v>0.05</v>
      </c>
      <c r="K140" s="37">
        <f t="shared" si="6"/>
        <v>4.4000000000000004</v>
      </c>
      <c r="L140" s="45">
        <f t="shared" si="7"/>
        <v>4.4000000000000004</v>
      </c>
    </row>
    <row r="141" spans="1:12" x14ac:dyDescent="0.35">
      <c r="A141" t="s">
        <v>124</v>
      </c>
      <c r="B141" t="s">
        <v>126</v>
      </c>
      <c r="C141" t="s">
        <v>82</v>
      </c>
      <c r="D141">
        <v>13</v>
      </c>
      <c r="E141">
        <v>2</v>
      </c>
      <c r="F141">
        <v>26</v>
      </c>
      <c r="G141" t="s">
        <v>137</v>
      </c>
      <c r="H141" t="s">
        <v>152</v>
      </c>
      <c r="I141" s="36" t="str">
        <f>VLOOKUP(A141,N:O,2,0)</f>
        <v>SurOeste</v>
      </c>
      <c r="J141" s="37">
        <f t="shared" si="8"/>
        <v>0.13</v>
      </c>
      <c r="K141" s="37">
        <f t="shared" si="6"/>
        <v>3.38</v>
      </c>
      <c r="L141" s="45">
        <f t="shared" si="7"/>
        <v>3.38</v>
      </c>
    </row>
    <row r="142" spans="1:12" x14ac:dyDescent="0.35">
      <c r="A142" t="s">
        <v>88</v>
      </c>
      <c r="B142" t="s">
        <v>113</v>
      </c>
      <c r="C142" t="s">
        <v>90</v>
      </c>
      <c r="D142">
        <v>8</v>
      </c>
      <c r="E142">
        <v>17</v>
      </c>
      <c r="F142">
        <v>136</v>
      </c>
      <c r="G142" t="s">
        <v>135</v>
      </c>
      <c r="H142" t="s">
        <v>153</v>
      </c>
      <c r="I142" s="36" t="str">
        <f>VLOOKUP(A142,N:O,2,0)</f>
        <v>Centronorte</v>
      </c>
      <c r="J142" s="37">
        <f t="shared" si="8"/>
        <v>7.0000000000000007E-2</v>
      </c>
      <c r="K142" s="37">
        <f t="shared" si="6"/>
        <v>0</v>
      </c>
      <c r="L142" s="45">
        <f t="shared" si="7"/>
        <v>0</v>
      </c>
    </row>
    <row r="143" spans="1:12" x14ac:dyDescent="0.35">
      <c r="A143" t="s">
        <v>108</v>
      </c>
      <c r="B143" t="s">
        <v>99</v>
      </c>
      <c r="C143" t="s">
        <v>100</v>
      </c>
      <c r="D143">
        <v>9</v>
      </c>
      <c r="E143">
        <v>11</v>
      </c>
      <c r="F143">
        <v>99</v>
      </c>
      <c r="G143" t="s">
        <v>135</v>
      </c>
      <c r="H143" t="s">
        <v>152</v>
      </c>
      <c r="I143" s="36" t="str">
        <f>VLOOKUP(A143,N:O,2,0)</f>
        <v>Occidente</v>
      </c>
      <c r="J143" s="37">
        <f t="shared" si="8"/>
        <v>0.11</v>
      </c>
      <c r="K143" s="37">
        <f t="shared" si="6"/>
        <v>10.89</v>
      </c>
      <c r="L143" s="45">
        <f t="shared" si="7"/>
        <v>10.89</v>
      </c>
    </row>
    <row r="144" spans="1:12" x14ac:dyDescent="0.35">
      <c r="A144" t="s">
        <v>68</v>
      </c>
      <c r="B144" t="s">
        <v>81</v>
      </c>
      <c r="C144" t="s">
        <v>82</v>
      </c>
      <c r="D144">
        <v>14</v>
      </c>
      <c r="E144">
        <v>7</v>
      </c>
      <c r="F144">
        <v>98</v>
      </c>
      <c r="G144" t="s">
        <v>137</v>
      </c>
      <c r="H144" t="s">
        <v>153</v>
      </c>
      <c r="I144" s="36" t="str">
        <f>VLOOKUP(A144,N:O,2,0)</f>
        <v>Noroeste</v>
      </c>
      <c r="J144" s="37">
        <f t="shared" si="8"/>
        <v>0.1</v>
      </c>
      <c r="K144" s="37">
        <f t="shared" si="6"/>
        <v>0</v>
      </c>
      <c r="L144" s="45">
        <f t="shared" si="7"/>
        <v>0</v>
      </c>
    </row>
    <row r="145" spans="1:12" x14ac:dyDescent="0.35">
      <c r="A145" t="s">
        <v>111</v>
      </c>
      <c r="B145" t="s">
        <v>69</v>
      </c>
      <c r="C145" t="s">
        <v>70</v>
      </c>
      <c r="D145">
        <v>500</v>
      </c>
      <c r="E145">
        <v>3</v>
      </c>
      <c r="F145">
        <v>1500</v>
      </c>
      <c r="G145" t="s">
        <v>136</v>
      </c>
      <c r="H145" t="s">
        <v>152</v>
      </c>
      <c r="I145" s="36" t="str">
        <f>VLOOKUP(A145,N:O,2,0)</f>
        <v>Occidente</v>
      </c>
      <c r="J145" s="37">
        <f t="shared" si="8"/>
        <v>0.14000000000000001</v>
      </c>
      <c r="K145" s="37">
        <f t="shared" si="6"/>
        <v>210.00000000000003</v>
      </c>
      <c r="L145" s="45">
        <f t="shared" si="7"/>
        <v>210.00000000000003</v>
      </c>
    </row>
    <row r="146" spans="1:12" x14ac:dyDescent="0.35">
      <c r="A146" t="s">
        <v>111</v>
      </c>
      <c r="B146" t="s">
        <v>66</v>
      </c>
      <c r="C146" t="s">
        <v>67</v>
      </c>
      <c r="D146">
        <v>8</v>
      </c>
      <c r="E146">
        <v>5</v>
      </c>
      <c r="F146">
        <v>40</v>
      </c>
      <c r="G146" t="s">
        <v>135</v>
      </c>
      <c r="H146" t="s">
        <v>152</v>
      </c>
      <c r="I146" s="36" t="str">
        <f>VLOOKUP(A146,N:O,2,0)</f>
        <v>Occidente</v>
      </c>
      <c r="J146" s="37">
        <f t="shared" si="8"/>
        <v>0.11</v>
      </c>
      <c r="K146" s="37">
        <f t="shared" si="6"/>
        <v>4.4000000000000004</v>
      </c>
      <c r="L146" s="45">
        <f t="shared" si="7"/>
        <v>4.4000000000000004</v>
      </c>
    </row>
    <row r="147" spans="1:12" x14ac:dyDescent="0.35">
      <c r="A147" t="s">
        <v>65</v>
      </c>
      <c r="B147" t="s">
        <v>118</v>
      </c>
      <c r="C147" t="s">
        <v>76</v>
      </c>
      <c r="D147">
        <v>5</v>
      </c>
      <c r="E147">
        <v>16</v>
      </c>
      <c r="F147">
        <v>80</v>
      </c>
      <c r="G147" t="s">
        <v>135</v>
      </c>
      <c r="H147" t="s">
        <v>152</v>
      </c>
      <c r="I147" s="36" t="str">
        <f>VLOOKUP(A147,N:O,2,0)</f>
        <v>Oriente</v>
      </c>
      <c r="J147" s="37">
        <f t="shared" si="8"/>
        <v>7.0000000000000007E-2</v>
      </c>
      <c r="K147" s="37">
        <f t="shared" si="6"/>
        <v>5.6000000000000005</v>
      </c>
      <c r="L147" s="45">
        <f t="shared" si="7"/>
        <v>5.6000000000000005</v>
      </c>
    </row>
    <row r="148" spans="1:12" x14ac:dyDescent="0.35">
      <c r="A148" t="s">
        <v>91</v>
      </c>
      <c r="B148" t="s">
        <v>92</v>
      </c>
      <c r="C148" t="s">
        <v>93</v>
      </c>
      <c r="D148">
        <v>7</v>
      </c>
      <c r="E148">
        <v>2</v>
      </c>
      <c r="F148">
        <v>14</v>
      </c>
      <c r="G148" t="s">
        <v>135</v>
      </c>
      <c r="H148" t="s">
        <v>152</v>
      </c>
      <c r="I148" s="36" t="str">
        <f>VLOOKUP(A148,N:O,2,0)</f>
        <v>Occidente</v>
      </c>
      <c r="J148" s="37">
        <f t="shared" si="8"/>
        <v>0.11</v>
      </c>
      <c r="K148" s="37">
        <f t="shared" si="6"/>
        <v>1.54</v>
      </c>
      <c r="L148" s="45">
        <f t="shared" si="7"/>
        <v>1.54</v>
      </c>
    </row>
    <row r="149" spans="1:12" x14ac:dyDescent="0.35">
      <c r="A149" t="s">
        <v>85</v>
      </c>
      <c r="B149" t="s">
        <v>120</v>
      </c>
      <c r="C149" t="s">
        <v>103</v>
      </c>
      <c r="D149">
        <v>3</v>
      </c>
      <c r="E149">
        <v>11</v>
      </c>
      <c r="F149">
        <v>33</v>
      </c>
      <c r="G149" t="s">
        <v>135</v>
      </c>
      <c r="H149" t="s">
        <v>152</v>
      </c>
      <c r="I149" s="36" t="str">
        <f>VLOOKUP(A149,N:O,2,0)</f>
        <v>Oriente</v>
      </c>
      <c r="J149" s="37">
        <f t="shared" si="8"/>
        <v>7.0000000000000007E-2</v>
      </c>
      <c r="K149" s="37">
        <f t="shared" si="6"/>
        <v>2.31</v>
      </c>
      <c r="L149" s="45">
        <f t="shared" si="7"/>
        <v>2.31</v>
      </c>
    </row>
    <row r="150" spans="1:12" x14ac:dyDescent="0.35">
      <c r="A150" t="s">
        <v>125</v>
      </c>
      <c r="B150" t="s">
        <v>102</v>
      </c>
      <c r="C150" t="s">
        <v>103</v>
      </c>
      <c r="D150">
        <v>4</v>
      </c>
      <c r="E150">
        <v>14</v>
      </c>
      <c r="F150">
        <v>56</v>
      </c>
      <c r="G150" t="s">
        <v>135</v>
      </c>
      <c r="H150" t="s">
        <v>153</v>
      </c>
      <c r="I150" s="36" t="str">
        <f>VLOOKUP(A150,N:O,2,0)</f>
        <v>Noroeste</v>
      </c>
      <c r="J150" s="37">
        <f t="shared" si="8"/>
        <v>0.05</v>
      </c>
      <c r="K150" s="37">
        <f t="shared" si="6"/>
        <v>0</v>
      </c>
      <c r="L150" s="45">
        <f t="shared" si="7"/>
        <v>0</v>
      </c>
    </row>
    <row r="151" spans="1:12" x14ac:dyDescent="0.35">
      <c r="A151" t="s">
        <v>106</v>
      </c>
      <c r="B151" t="s">
        <v>105</v>
      </c>
      <c r="C151" t="s">
        <v>97</v>
      </c>
      <c r="D151">
        <v>19</v>
      </c>
      <c r="E151">
        <v>6</v>
      </c>
      <c r="F151">
        <v>114</v>
      </c>
      <c r="G151" t="s">
        <v>137</v>
      </c>
      <c r="H151" t="s">
        <v>153</v>
      </c>
      <c r="I151" s="36" t="str">
        <f>VLOOKUP(A151,N:O,2,0)</f>
        <v>SurEste</v>
      </c>
      <c r="J151" s="37">
        <f t="shared" si="8"/>
        <v>7.0000000000000007E-2</v>
      </c>
      <c r="K151" s="37">
        <f t="shared" si="6"/>
        <v>0</v>
      </c>
      <c r="L151" s="45">
        <f t="shared" si="7"/>
        <v>0</v>
      </c>
    </row>
    <row r="152" spans="1:12" x14ac:dyDescent="0.35">
      <c r="A152" t="s">
        <v>83</v>
      </c>
      <c r="B152" t="s">
        <v>92</v>
      </c>
      <c r="C152" t="s">
        <v>93</v>
      </c>
      <c r="D152">
        <v>7</v>
      </c>
      <c r="E152">
        <v>5</v>
      </c>
      <c r="F152">
        <v>35</v>
      </c>
      <c r="G152" t="s">
        <v>135</v>
      </c>
      <c r="H152" t="s">
        <v>152</v>
      </c>
      <c r="I152" s="36" t="str">
        <f>VLOOKUP(A152,N:O,2,0)</f>
        <v>Centronorte</v>
      </c>
      <c r="J152" s="37">
        <f t="shared" si="8"/>
        <v>7.0000000000000007E-2</v>
      </c>
      <c r="K152" s="37">
        <f t="shared" si="6"/>
        <v>2.4500000000000002</v>
      </c>
      <c r="L152" s="45">
        <f t="shared" si="7"/>
        <v>2.4500000000000002</v>
      </c>
    </row>
    <row r="153" spans="1:12" x14ac:dyDescent="0.35">
      <c r="A153" t="s">
        <v>94</v>
      </c>
      <c r="B153" t="s">
        <v>89</v>
      </c>
      <c r="C153" t="s">
        <v>90</v>
      </c>
      <c r="D153">
        <v>10</v>
      </c>
      <c r="E153">
        <v>9</v>
      </c>
      <c r="F153">
        <v>90</v>
      </c>
      <c r="G153" t="s">
        <v>135</v>
      </c>
      <c r="H153" t="s">
        <v>152</v>
      </c>
      <c r="I153" s="36" t="str">
        <f>VLOOKUP(A153,N:O,2,0)</f>
        <v>Noreste</v>
      </c>
      <c r="J153" s="37">
        <f t="shared" si="8"/>
        <v>0.08</v>
      </c>
      <c r="K153" s="37">
        <f t="shared" si="6"/>
        <v>7.2</v>
      </c>
      <c r="L153" s="45">
        <f t="shared" si="7"/>
        <v>7.2</v>
      </c>
    </row>
    <row r="154" spans="1:12" x14ac:dyDescent="0.35">
      <c r="A154" t="s">
        <v>65</v>
      </c>
      <c r="B154" t="s">
        <v>96</v>
      </c>
      <c r="C154" t="s">
        <v>97</v>
      </c>
      <c r="D154">
        <v>19</v>
      </c>
      <c r="E154">
        <v>6</v>
      </c>
      <c r="F154">
        <v>114</v>
      </c>
      <c r="G154" t="s">
        <v>137</v>
      </c>
      <c r="H154" t="s">
        <v>153</v>
      </c>
      <c r="I154" s="36" t="str">
        <f>VLOOKUP(A154,N:O,2,0)</f>
        <v>Oriente</v>
      </c>
      <c r="J154" s="37">
        <f t="shared" si="8"/>
        <v>0.1</v>
      </c>
      <c r="K154" s="37">
        <f t="shared" si="6"/>
        <v>0</v>
      </c>
      <c r="L154" s="45">
        <f t="shared" si="7"/>
        <v>0</v>
      </c>
    </row>
    <row r="155" spans="1:12" x14ac:dyDescent="0.35">
      <c r="A155" t="s">
        <v>111</v>
      </c>
      <c r="B155" t="s">
        <v>69</v>
      </c>
      <c r="C155" t="s">
        <v>70</v>
      </c>
      <c r="D155">
        <v>500</v>
      </c>
      <c r="E155">
        <v>1</v>
      </c>
      <c r="F155">
        <v>500</v>
      </c>
      <c r="G155" t="s">
        <v>136</v>
      </c>
      <c r="H155" t="s">
        <v>153</v>
      </c>
      <c r="I155" s="36" t="str">
        <f>VLOOKUP(A155,N:O,2,0)</f>
        <v>Occidente</v>
      </c>
      <c r="J155" s="37">
        <f t="shared" si="8"/>
        <v>0.14000000000000001</v>
      </c>
      <c r="K155" s="37">
        <f t="shared" si="6"/>
        <v>0</v>
      </c>
      <c r="L155" s="45">
        <f t="shared" si="7"/>
        <v>0</v>
      </c>
    </row>
    <row r="156" spans="1:12" x14ac:dyDescent="0.35">
      <c r="A156" t="s">
        <v>110</v>
      </c>
      <c r="B156" t="s">
        <v>84</v>
      </c>
      <c r="C156" t="s">
        <v>82</v>
      </c>
      <c r="D156">
        <v>20</v>
      </c>
      <c r="E156">
        <v>19</v>
      </c>
      <c r="F156">
        <v>380</v>
      </c>
      <c r="G156" t="s">
        <v>137</v>
      </c>
      <c r="H156" t="s">
        <v>152</v>
      </c>
      <c r="I156" s="36" t="str">
        <f>VLOOKUP(A156,N:O,2,0)</f>
        <v>Noroeste</v>
      </c>
      <c r="J156" s="37">
        <f t="shared" si="8"/>
        <v>0.1</v>
      </c>
      <c r="K156" s="37">
        <f t="shared" si="6"/>
        <v>38</v>
      </c>
      <c r="L156" s="45">
        <f t="shared" si="7"/>
        <v>38</v>
      </c>
    </row>
    <row r="157" spans="1:12" x14ac:dyDescent="0.35">
      <c r="A157" t="s">
        <v>112</v>
      </c>
      <c r="B157" t="s">
        <v>92</v>
      </c>
      <c r="C157" t="s">
        <v>93</v>
      </c>
      <c r="D157">
        <v>7</v>
      </c>
      <c r="E157">
        <v>4</v>
      </c>
      <c r="F157">
        <v>28</v>
      </c>
      <c r="G157" t="s">
        <v>135</v>
      </c>
      <c r="H157" t="s">
        <v>153</v>
      </c>
      <c r="I157" s="36" t="str">
        <f>VLOOKUP(A157,N:O,2,0)</f>
        <v>Centronorte</v>
      </c>
      <c r="J157" s="37">
        <f t="shared" si="8"/>
        <v>7.0000000000000007E-2</v>
      </c>
      <c r="K157" s="37">
        <f t="shared" si="6"/>
        <v>0</v>
      </c>
      <c r="L157" s="45">
        <f t="shared" si="7"/>
        <v>0</v>
      </c>
    </row>
    <row r="158" spans="1:12" x14ac:dyDescent="0.35">
      <c r="A158" t="s">
        <v>121</v>
      </c>
      <c r="B158" t="s">
        <v>117</v>
      </c>
      <c r="C158" t="s">
        <v>103</v>
      </c>
      <c r="D158">
        <v>9</v>
      </c>
      <c r="E158">
        <v>15</v>
      </c>
      <c r="F158">
        <v>135</v>
      </c>
      <c r="G158" t="s">
        <v>135</v>
      </c>
      <c r="H158" t="s">
        <v>153</v>
      </c>
      <c r="I158" s="36" t="str">
        <f>VLOOKUP(A158,N:O,2,0)</f>
        <v>Oriente</v>
      </c>
      <c r="J158" s="37">
        <f t="shared" si="8"/>
        <v>7.0000000000000007E-2</v>
      </c>
      <c r="K158" s="37">
        <f t="shared" si="6"/>
        <v>0</v>
      </c>
      <c r="L158" s="45">
        <f t="shared" si="7"/>
        <v>0</v>
      </c>
    </row>
    <row r="159" spans="1:12" x14ac:dyDescent="0.35">
      <c r="A159" t="s">
        <v>94</v>
      </c>
      <c r="B159" t="s">
        <v>105</v>
      </c>
      <c r="C159" t="s">
        <v>97</v>
      </c>
      <c r="D159">
        <v>19</v>
      </c>
      <c r="E159">
        <v>12</v>
      </c>
      <c r="F159">
        <v>228</v>
      </c>
      <c r="G159" t="s">
        <v>137</v>
      </c>
      <c r="H159" t="s">
        <v>152</v>
      </c>
      <c r="I159" s="36" t="str">
        <f>VLOOKUP(A159,N:O,2,0)</f>
        <v>Noreste</v>
      </c>
      <c r="J159" s="37">
        <f t="shared" si="8"/>
        <v>0.14000000000000001</v>
      </c>
      <c r="K159" s="37">
        <f t="shared" si="6"/>
        <v>31.92</v>
      </c>
      <c r="L159" s="45">
        <f t="shared" si="7"/>
        <v>31.92</v>
      </c>
    </row>
    <row r="160" spans="1:12" x14ac:dyDescent="0.35">
      <c r="A160" t="s">
        <v>125</v>
      </c>
      <c r="B160" t="s">
        <v>84</v>
      </c>
      <c r="C160" t="s">
        <v>82</v>
      </c>
      <c r="D160">
        <v>20</v>
      </c>
      <c r="E160">
        <v>17</v>
      </c>
      <c r="F160">
        <v>340</v>
      </c>
      <c r="G160" t="s">
        <v>137</v>
      </c>
      <c r="H160" t="s">
        <v>152</v>
      </c>
      <c r="I160" s="36" t="str">
        <f>VLOOKUP(A160,N:O,2,0)</f>
        <v>Noroeste</v>
      </c>
      <c r="J160" s="37">
        <f t="shared" si="8"/>
        <v>0.1</v>
      </c>
      <c r="K160" s="37">
        <f t="shared" si="6"/>
        <v>34</v>
      </c>
      <c r="L160" s="45">
        <f t="shared" si="7"/>
        <v>34</v>
      </c>
    </row>
    <row r="161" spans="1:12" x14ac:dyDescent="0.35">
      <c r="A161" t="s">
        <v>116</v>
      </c>
      <c r="B161" t="s">
        <v>81</v>
      </c>
      <c r="C161" t="s">
        <v>82</v>
      </c>
      <c r="D161">
        <v>14</v>
      </c>
      <c r="E161">
        <v>4</v>
      </c>
      <c r="F161">
        <v>56</v>
      </c>
      <c r="G161" t="s">
        <v>137</v>
      </c>
      <c r="H161" t="s">
        <v>152</v>
      </c>
      <c r="I161" s="36" t="str">
        <f>VLOOKUP(A161,N:O,2,0)</f>
        <v>Oriente</v>
      </c>
      <c r="J161" s="37">
        <f t="shared" si="8"/>
        <v>0.1</v>
      </c>
      <c r="K161" s="37">
        <f t="shared" si="6"/>
        <v>5.6000000000000005</v>
      </c>
      <c r="L161" s="45">
        <f t="shared" si="7"/>
        <v>5.6000000000000005</v>
      </c>
    </row>
    <row r="162" spans="1:12" x14ac:dyDescent="0.35">
      <c r="A162" t="s">
        <v>91</v>
      </c>
      <c r="B162" t="s">
        <v>120</v>
      </c>
      <c r="C162" t="s">
        <v>103</v>
      </c>
      <c r="D162">
        <v>3</v>
      </c>
      <c r="E162">
        <v>1</v>
      </c>
      <c r="F162">
        <v>3</v>
      </c>
      <c r="G162" t="s">
        <v>135</v>
      </c>
      <c r="H162" t="s">
        <v>153</v>
      </c>
      <c r="I162" s="36" t="str">
        <f>VLOOKUP(A162,N:O,2,0)</f>
        <v>Occidente</v>
      </c>
      <c r="J162" s="37">
        <f t="shared" si="8"/>
        <v>0.11</v>
      </c>
      <c r="K162" s="37">
        <f t="shared" si="6"/>
        <v>0</v>
      </c>
      <c r="L162" s="45">
        <f t="shared" si="7"/>
        <v>0</v>
      </c>
    </row>
    <row r="163" spans="1:12" x14ac:dyDescent="0.35">
      <c r="A163" t="s">
        <v>72</v>
      </c>
      <c r="B163" t="s">
        <v>92</v>
      </c>
      <c r="C163" t="s">
        <v>93</v>
      </c>
      <c r="D163">
        <v>7</v>
      </c>
      <c r="E163">
        <v>1</v>
      </c>
      <c r="F163">
        <v>7</v>
      </c>
      <c r="G163" t="s">
        <v>135</v>
      </c>
      <c r="H163" t="s">
        <v>152</v>
      </c>
      <c r="I163" s="36" t="str">
        <f>VLOOKUP(A163,N:O,2,0)</f>
        <v>Centronorte</v>
      </c>
      <c r="J163" s="37">
        <f t="shared" si="8"/>
        <v>7.0000000000000007E-2</v>
      </c>
      <c r="K163" s="37">
        <f t="shared" si="6"/>
        <v>0.49000000000000005</v>
      </c>
      <c r="L163" s="45">
        <f t="shared" si="7"/>
        <v>0.49000000000000005</v>
      </c>
    </row>
    <row r="164" spans="1:12" x14ac:dyDescent="0.35">
      <c r="A164" t="s">
        <v>104</v>
      </c>
      <c r="B164" t="s">
        <v>92</v>
      </c>
      <c r="C164" t="s">
        <v>93</v>
      </c>
      <c r="D164">
        <v>7</v>
      </c>
      <c r="E164">
        <v>17</v>
      </c>
      <c r="F164">
        <v>119</v>
      </c>
      <c r="G164" t="s">
        <v>135</v>
      </c>
      <c r="H164" t="s">
        <v>152</v>
      </c>
      <c r="I164" s="36" t="str">
        <f>VLOOKUP(A164,N:O,2,0)</f>
        <v>SurEste</v>
      </c>
      <c r="J164" s="37">
        <f t="shared" si="8"/>
        <v>7.0000000000000007E-2</v>
      </c>
      <c r="K164" s="37">
        <f t="shared" si="6"/>
        <v>8.33</v>
      </c>
      <c r="L164" s="45">
        <f t="shared" si="7"/>
        <v>8.33</v>
      </c>
    </row>
    <row r="165" spans="1:12" x14ac:dyDescent="0.35">
      <c r="A165" t="s">
        <v>98</v>
      </c>
      <c r="B165" t="s">
        <v>66</v>
      </c>
      <c r="C165" t="s">
        <v>67</v>
      </c>
      <c r="D165">
        <v>8</v>
      </c>
      <c r="E165">
        <v>18</v>
      </c>
      <c r="F165">
        <v>144</v>
      </c>
      <c r="G165" t="s">
        <v>135</v>
      </c>
      <c r="H165" t="s">
        <v>152</v>
      </c>
      <c r="I165" s="36" t="str">
        <f>VLOOKUP(A165,N:O,2,0)</f>
        <v>Centronorte</v>
      </c>
      <c r="J165" s="37">
        <f t="shared" si="8"/>
        <v>7.0000000000000007E-2</v>
      </c>
      <c r="K165" s="37">
        <f t="shared" si="6"/>
        <v>10.080000000000002</v>
      </c>
      <c r="L165" s="45">
        <f t="shared" si="7"/>
        <v>10.080000000000002</v>
      </c>
    </row>
    <row r="166" spans="1:12" x14ac:dyDescent="0.35">
      <c r="A166" t="s">
        <v>124</v>
      </c>
      <c r="B166" t="s">
        <v>109</v>
      </c>
      <c r="C166" t="s">
        <v>100</v>
      </c>
      <c r="D166">
        <v>1</v>
      </c>
      <c r="E166">
        <v>12</v>
      </c>
      <c r="F166">
        <v>12</v>
      </c>
      <c r="G166" t="s">
        <v>135</v>
      </c>
      <c r="H166" t="s">
        <v>153</v>
      </c>
      <c r="I166" s="36" t="str">
        <f>VLOOKUP(A166,N:O,2,0)</f>
        <v>SurOeste</v>
      </c>
      <c r="J166" s="37">
        <f t="shared" si="8"/>
        <v>0.11</v>
      </c>
      <c r="K166" s="37">
        <f t="shared" si="6"/>
        <v>0</v>
      </c>
      <c r="L166" s="45">
        <f t="shared" si="7"/>
        <v>0</v>
      </c>
    </row>
    <row r="167" spans="1:12" x14ac:dyDescent="0.35">
      <c r="A167" t="s">
        <v>83</v>
      </c>
      <c r="B167" t="s">
        <v>69</v>
      </c>
      <c r="C167" t="s">
        <v>70</v>
      </c>
      <c r="D167">
        <v>500</v>
      </c>
      <c r="E167">
        <v>1</v>
      </c>
      <c r="F167">
        <v>500</v>
      </c>
      <c r="G167" t="s">
        <v>136</v>
      </c>
      <c r="H167" t="s">
        <v>153</v>
      </c>
      <c r="I167" s="36" t="str">
        <f>VLOOKUP(A167,N:O,2,0)</f>
        <v>Centronorte</v>
      </c>
      <c r="J167" s="37">
        <f t="shared" si="8"/>
        <v>0.12</v>
      </c>
      <c r="K167" s="37">
        <f t="shared" si="6"/>
        <v>0</v>
      </c>
      <c r="L167" s="45">
        <f t="shared" si="7"/>
        <v>0</v>
      </c>
    </row>
    <row r="168" spans="1:12" x14ac:dyDescent="0.35">
      <c r="A168" t="s">
        <v>104</v>
      </c>
      <c r="B168" t="s">
        <v>105</v>
      </c>
      <c r="C168" t="s">
        <v>97</v>
      </c>
      <c r="D168">
        <v>19</v>
      </c>
      <c r="E168">
        <v>7</v>
      </c>
      <c r="F168">
        <v>133</v>
      </c>
      <c r="G168" t="s">
        <v>137</v>
      </c>
      <c r="H168" t="s">
        <v>153</v>
      </c>
      <c r="I168" s="36" t="str">
        <f>VLOOKUP(A168,N:O,2,0)</f>
        <v>SurEste</v>
      </c>
      <c r="J168" s="37">
        <f t="shared" si="8"/>
        <v>7.0000000000000007E-2</v>
      </c>
      <c r="K168" s="37">
        <f t="shared" si="6"/>
        <v>0</v>
      </c>
      <c r="L168" s="45">
        <f t="shared" si="7"/>
        <v>0</v>
      </c>
    </row>
    <row r="169" spans="1:12" x14ac:dyDescent="0.35">
      <c r="A169" t="s">
        <v>98</v>
      </c>
      <c r="B169" t="s">
        <v>117</v>
      </c>
      <c r="C169" t="s">
        <v>103</v>
      </c>
      <c r="D169">
        <v>9</v>
      </c>
      <c r="E169">
        <v>19</v>
      </c>
      <c r="F169">
        <v>171</v>
      </c>
      <c r="G169" t="s">
        <v>135</v>
      </c>
      <c r="H169" t="s">
        <v>152</v>
      </c>
      <c r="I169" s="36" t="str">
        <f>VLOOKUP(A169,N:O,2,0)</f>
        <v>Centronorte</v>
      </c>
      <c r="J169" s="37">
        <f t="shared" si="8"/>
        <v>7.0000000000000007E-2</v>
      </c>
      <c r="K169" s="37">
        <f t="shared" si="6"/>
        <v>11.97</v>
      </c>
      <c r="L169" s="45">
        <f t="shared" si="7"/>
        <v>11.97</v>
      </c>
    </row>
    <row r="170" spans="1:12" x14ac:dyDescent="0.35">
      <c r="A170" t="s">
        <v>101</v>
      </c>
      <c r="B170" t="s">
        <v>92</v>
      </c>
      <c r="C170" t="s">
        <v>93</v>
      </c>
      <c r="D170">
        <v>7</v>
      </c>
      <c r="E170">
        <v>5</v>
      </c>
      <c r="F170">
        <v>35</v>
      </c>
      <c r="G170" t="s">
        <v>135</v>
      </c>
      <c r="H170" t="s">
        <v>152</v>
      </c>
      <c r="I170" s="36" t="str">
        <f>VLOOKUP(A170,N:O,2,0)</f>
        <v>SurEste</v>
      </c>
      <c r="J170" s="37">
        <f t="shared" si="8"/>
        <v>7.0000000000000007E-2</v>
      </c>
      <c r="K170" s="37">
        <f t="shared" si="6"/>
        <v>2.4500000000000002</v>
      </c>
      <c r="L170" s="45">
        <f t="shared" si="7"/>
        <v>2.4500000000000002</v>
      </c>
    </row>
    <row r="171" spans="1:12" x14ac:dyDescent="0.35">
      <c r="A171" t="s">
        <v>110</v>
      </c>
      <c r="B171" t="s">
        <v>113</v>
      </c>
      <c r="C171" t="s">
        <v>90</v>
      </c>
      <c r="D171">
        <v>8</v>
      </c>
      <c r="E171">
        <v>3</v>
      </c>
      <c r="F171">
        <v>24</v>
      </c>
      <c r="G171" t="s">
        <v>135</v>
      </c>
      <c r="H171" t="s">
        <v>152</v>
      </c>
      <c r="I171" s="36" t="str">
        <f>VLOOKUP(A171,N:O,2,0)</f>
        <v>Noroeste</v>
      </c>
      <c r="J171" s="37">
        <f t="shared" si="8"/>
        <v>0.05</v>
      </c>
      <c r="K171" s="37">
        <f t="shared" si="6"/>
        <v>1.2000000000000002</v>
      </c>
      <c r="L171" s="45">
        <f t="shared" si="7"/>
        <v>1.2000000000000002</v>
      </c>
    </row>
    <row r="172" spans="1:12" x14ac:dyDescent="0.35">
      <c r="A172" t="s">
        <v>68</v>
      </c>
      <c r="B172" t="s">
        <v>86</v>
      </c>
      <c r="C172" t="s">
        <v>87</v>
      </c>
      <c r="D172">
        <v>7</v>
      </c>
      <c r="E172">
        <v>1</v>
      </c>
      <c r="F172">
        <v>7</v>
      </c>
      <c r="G172" t="s">
        <v>135</v>
      </c>
      <c r="H172" t="s">
        <v>152</v>
      </c>
      <c r="I172" s="36" t="str">
        <f>VLOOKUP(A172,N:O,2,0)</f>
        <v>Noroeste</v>
      </c>
      <c r="J172" s="37">
        <f t="shared" si="8"/>
        <v>0.05</v>
      </c>
      <c r="K172" s="37">
        <f t="shared" si="6"/>
        <v>0.35000000000000003</v>
      </c>
      <c r="L172" s="45">
        <f t="shared" si="7"/>
        <v>0.35000000000000003</v>
      </c>
    </row>
    <row r="173" spans="1:12" x14ac:dyDescent="0.35">
      <c r="A173" t="s">
        <v>98</v>
      </c>
      <c r="B173" t="s">
        <v>115</v>
      </c>
      <c r="C173" t="s">
        <v>97</v>
      </c>
      <c r="D173">
        <v>11</v>
      </c>
      <c r="E173">
        <v>12</v>
      </c>
      <c r="F173">
        <v>132</v>
      </c>
      <c r="G173" t="s">
        <v>135</v>
      </c>
      <c r="H173" t="s">
        <v>152</v>
      </c>
      <c r="I173" s="36" t="str">
        <f>VLOOKUP(A173,N:O,2,0)</f>
        <v>Centronorte</v>
      </c>
      <c r="J173" s="37">
        <f t="shared" si="8"/>
        <v>7.0000000000000007E-2</v>
      </c>
      <c r="K173" s="37">
        <f t="shared" si="6"/>
        <v>9.24</v>
      </c>
      <c r="L173" s="45">
        <f t="shared" si="7"/>
        <v>9.24</v>
      </c>
    </row>
    <row r="174" spans="1:12" x14ac:dyDescent="0.35">
      <c r="A174" t="s">
        <v>71</v>
      </c>
      <c r="B174" t="s">
        <v>120</v>
      </c>
      <c r="C174" t="s">
        <v>103</v>
      </c>
      <c r="D174">
        <v>3</v>
      </c>
      <c r="E174">
        <v>13</v>
      </c>
      <c r="F174">
        <v>39</v>
      </c>
      <c r="G174" t="s">
        <v>135</v>
      </c>
      <c r="H174" t="s">
        <v>152</v>
      </c>
      <c r="I174" s="36" t="str">
        <f>VLOOKUP(A174,N:O,2,0)</f>
        <v>Noroeste</v>
      </c>
      <c r="J174" s="37">
        <f t="shared" si="8"/>
        <v>0.05</v>
      </c>
      <c r="K174" s="37">
        <f t="shared" si="6"/>
        <v>1.9500000000000002</v>
      </c>
      <c r="L174" s="45">
        <f t="shared" si="7"/>
        <v>1.9500000000000002</v>
      </c>
    </row>
    <row r="175" spans="1:12" x14ac:dyDescent="0.35">
      <c r="A175" t="s">
        <v>119</v>
      </c>
      <c r="B175" t="s">
        <v>73</v>
      </c>
      <c r="C175" t="s">
        <v>74</v>
      </c>
      <c r="D175">
        <v>1</v>
      </c>
      <c r="E175">
        <v>1</v>
      </c>
      <c r="F175">
        <v>1</v>
      </c>
      <c r="G175" t="s">
        <v>135</v>
      </c>
      <c r="H175" t="s">
        <v>153</v>
      </c>
      <c r="I175" s="36" t="str">
        <f>VLOOKUP(A175,N:O,2,0)</f>
        <v>Occidente</v>
      </c>
      <c r="J175" s="37">
        <f t="shared" si="8"/>
        <v>0.11</v>
      </c>
      <c r="K175" s="37">
        <f t="shared" si="6"/>
        <v>0</v>
      </c>
      <c r="L175" s="45">
        <f t="shared" si="7"/>
        <v>0</v>
      </c>
    </row>
    <row r="176" spans="1:12" x14ac:dyDescent="0.35">
      <c r="A176" t="s">
        <v>119</v>
      </c>
      <c r="B176" t="s">
        <v>89</v>
      </c>
      <c r="C176" t="s">
        <v>90</v>
      </c>
      <c r="D176">
        <v>10</v>
      </c>
      <c r="E176">
        <v>7</v>
      </c>
      <c r="F176">
        <v>70</v>
      </c>
      <c r="G176" t="s">
        <v>135</v>
      </c>
      <c r="H176" t="s">
        <v>152</v>
      </c>
      <c r="I176" s="36" t="str">
        <f>VLOOKUP(A176,N:O,2,0)</f>
        <v>Occidente</v>
      </c>
      <c r="J176" s="37">
        <f t="shared" si="8"/>
        <v>0.11</v>
      </c>
      <c r="K176" s="37">
        <f t="shared" si="6"/>
        <v>7.7</v>
      </c>
      <c r="L176" s="45">
        <f t="shared" si="7"/>
        <v>7.7</v>
      </c>
    </row>
    <row r="177" spans="1:12" x14ac:dyDescent="0.35">
      <c r="A177" t="s">
        <v>122</v>
      </c>
      <c r="B177" t="s">
        <v>81</v>
      </c>
      <c r="C177" t="s">
        <v>82</v>
      </c>
      <c r="D177">
        <v>14</v>
      </c>
      <c r="E177">
        <v>5</v>
      </c>
      <c r="F177">
        <v>70</v>
      </c>
      <c r="G177" t="s">
        <v>137</v>
      </c>
      <c r="H177" t="s">
        <v>152</v>
      </c>
      <c r="I177" s="36" t="str">
        <f>VLOOKUP(A177,N:O,2,0)</f>
        <v>Noroeste</v>
      </c>
      <c r="J177" s="37">
        <f t="shared" si="8"/>
        <v>0.1</v>
      </c>
      <c r="K177" s="37">
        <f t="shared" si="6"/>
        <v>7</v>
      </c>
      <c r="L177" s="45">
        <f t="shared" si="7"/>
        <v>7</v>
      </c>
    </row>
    <row r="178" spans="1:12" x14ac:dyDescent="0.35">
      <c r="A178" t="s">
        <v>95</v>
      </c>
      <c r="B178" t="s">
        <v>102</v>
      </c>
      <c r="C178" t="s">
        <v>103</v>
      </c>
      <c r="D178">
        <v>4</v>
      </c>
      <c r="E178">
        <v>20</v>
      </c>
      <c r="F178">
        <v>80</v>
      </c>
      <c r="G178" t="s">
        <v>135</v>
      </c>
      <c r="H178" t="s">
        <v>153</v>
      </c>
      <c r="I178" s="36" t="str">
        <f>VLOOKUP(A178,N:O,2,0)</f>
        <v>SurEste</v>
      </c>
      <c r="J178" s="37">
        <f t="shared" si="8"/>
        <v>7.0000000000000007E-2</v>
      </c>
      <c r="K178" s="37">
        <f t="shared" si="6"/>
        <v>0</v>
      </c>
      <c r="L178" s="45">
        <f t="shared" si="7"/>
        <v>0</v>
      </c>
    </row>
    <row r="179" spans="1:12" x14ac:dyDescent="0.35">
      <c r="A179" t="s">
        <v>111</v>
      </c>
      <c r="B179" t="s">
        <v>81</v>
      </c>
      <c r="C179" t="s">
        <v>82</v>
      </c>
      <c r="D179">
        <v>14</v>
      </c>
      <c r="E179">
        <v>5</v>
      </c>
      <c r="F179">
        <v>70</v>
      </c>
      <c r="G179" t="s">
        <v>137</v>
      </c>
      <c r="H179" t="s">
        <v>152</v>
      </c>
      <c r="I179" s="36" t="str">
        <f>VLOOKUP(A179,N:O,2,0)</f>
        <v>Occidente</v>
      </c>
      <c r="J179" s="37">
        <f t="shared" si="8"/>
        <v>0.04</v>
      </c>
      <c r="K179" s="37">
        <f t="shared" si="6"/>
        <v>2.8000000000000003</v>
      </c>
      <c r="L179" s="45">
        <f t="shared" si="7"/>
        <v>2.8000000000000003</v>
      </c>
    </row>
    <row r="180" spans="1:12" x14ac:dyDescent="0.35">
      <c r="A180" t="s">
        <v>119</v>
      </c>
      <c r="B180" t="s">
        <v>69</v>
      </c>
      <c r="C180" t="s">
        <v>70</v>
      </c>
      <c r="D180">
        <v>500</v>
      </c>
      <c r="E180">
        <v>4</v>
      </c>
      <c r="F180">
        <v>2000</v>
      </c>
      <c r="G180" t="s">
        <v>136</v>
      </c>
      <c r="H180" t="s">
        <v>152</v>
      </c>
      <c r="I180" s="36" t="str">
        <f>VLOOKUP(A180,N:O,2,0)</f>
        <v>Occidente</v>
      </c>
      <c r="J180" s="37">
        <f t="shared" si="8"/>
        <v>0.14000000000000001</v>
      </c>
      <c r="K180" s="37">
        <f t="shared" si="6"/>
        <v>280</v>
      </c>
      <c r="L180" s="45">
        <f t="shared" si="7"/>
        <v>280</v>
      </c>
    </row>
    <row r="181" spans="1:12" x14ac:dyDescent="0.35">
      <c r="A181" t="s">
        <v>124</v>
      </c>
      <c r="B181" t="s">
        <v>109</v>
      </c>
      <c r="C181" t="s">
        <v>100</v>
      </c>
      <c r="D181">
        <v>1</v>
      </c>
      <c r="E181">
        <v>9</v>
      </c>
      <c r="F181">
        <v>9</v>
      </c>
      <c r="G181" t="s">
        <v>135</v>
      </c>
      <c r="H181" t="s">
        <v>153</v>
      </c>
      <c r="I181" s="36" t="str">
        <f>VLOOKUP(A181,N:O,2,0)</f>
        <v>SurOeste</v>
      </c>
      <c r="J181" s="37">
        <f t="shared" si="8"/>
        <v>0.11</v>
      </c>
      <c r="K181" s="37">
        <f t="shared" si="6"/>
        <v>0</v>
      </c>
      <c r="L181" s="45">
        <f t="shared" si="7"/>
        <v>0</v>
      </c>
    </row>
    <row r="182" spans="1:12" x14ac:dyDescent="0.35">
      <c r="A182" t="s">
        <v>108</v>
      </c>
      <c r="B182" t="s">
        <v>127</v>
      </c>
      <c r="C182" t="s">
        <v>128</v>
      </c>
      <c r="D182">
        <v>300</v>
      </c>
      <c r="E182">
        <v>1</v>
      </c>
      <c r="F182">
        <v>300</v>
      </c>
      <c r="G182" t="s">
        <v>138</v>
      </c>
      <c r="H182" t="s">
        <v>152</v>
      </c>
      <c r="I182" s="36" t="str">
        <f>VLOOKUP(A182,N:O,2,0)</f>
        <v>Occidente</v>
      </c>
      <c r="J182" s="37">
        <f t="shared" si="8"/>
        <v>0.11</v>
      </c>
      <c r="K182" s="37">
        <f t="shared" si="6"/>
        <v>33</v>
      </c>
      <c r="L182" s="45">
        <f t="shared" si="7"/>
        <v>33</v>
      </c>
    </row>
    <row r="183" spans="1:12" x14ac:dyDescent="0.35">
      <c r="A183" t="s">
        <v>68</v>
      </c>
      <c r="B183" t="s">
        <v>129</v>
      </c>
      <c r="C183" t="s">
        <v>130</v>
      </c>
      <c r="D183">
        <v>150</v>
      </c>
      <c r="E183">
        <v>1</v>
      </c>
      <c r="F183">
        <v>150</v>
      </c>
      <c r="G183" t="s">
        <v>138</v>
      </c>
      <c r="H183" t="s">
        <v>152</v>
      </c>
      <c r="I183" s="36" t="str">
        <f>VLOOKUP(A183,N:O,2,0)</f>
        <v>Noroeste</v>
      </c>
      <c r="J183" s="37">
        <f t="shared" si="8"/>
        <v>0.08</v>
      </c>
      <c r="K183" s="37">
        <f t="shared" si="6"/>
        <v>12</v>
      </c>
      <c r="L183" s="45">
        <f t="shared" si="7"/>
        <v>12</v>
      </c>
    </row>
    <row r="184" spans="1:12" x14ac:dyDescent="0.35">
      <c r="A184" t="s">
        <v>111</v>
      </c>
      <c r="B184" t="s">
        <v>131</v>
      </c>
      <c r="C184" t="s">
        <v>132</v>
      </c>
      <c r="D184">
        <v>300</v>
      </c>
      <c r="E184">
        <v>1</v>
      </c>
      <c r="F184">
        <v>300</v>
      </c>
      <c r="G184" t="s">
        <v>138</v>
      </c>
      <c r="H184" t="s">
        <v>153</v>
      </c>
      <c r="I184" s="36" t="str">
        <f>VLOOKUP(A184,N:O,2,0)</f>
        <v>Occidente</v>
      </c>
      <c r="J184" s="37">
        <f t="shared" si="8"/>
        <v>0.11</v>
      </c>
      <c r="K184" s="37">
        <f t="shared" si="6"/>
        <v>0</v>
      </c>
      <c r="L184" s="45">
        <f t="shared" si="7"/>
        <v>0</v>
      </c>
    </row>
    <row r="185" spans="1:12" x14ac:dyDescent="0.35">
      <c r="A185" t="s">
        <v>111</v>
      </c>
      <c r="B185" t="s">
        <v>133</v>
      </c>
      <c r="C185" t="s">
        <v>134</v>
      </c>
      <c r="D185">
        <v>99</v>
      </c>
      <c r="E185">
        <v>1</v>
      </c>
      <c r="F185">
        <v>99</v>
      </c>
      <c r="G185" t="s">
        <v>138</v>
      </c>
      <c r="H185" t="s">
        <v>153</v>
      </c>
      <c r="I185" s="36" t="str">
        <f>VLOOKUP(A185,N:O,2,0)</f>
        <v>Occidente</v>
      </c>
      <c r="J185" s="37">
        <f t="shared" si="8"/>
        <v>0.11</v>
      </c>
      <c r="K185" s="37">
        <f t="shared" si="6"/>
        <v>0</v>
      </c>
      <c r="L185" s="45">
        <f t="shared" si="7"/>
        <v>0</v>
      </c>
    </row>
    <row r="186" spans="1:12" x14ac:dyDescent="0.35">
      <c r="A186" t="s">
        <v>91</v>
      </c>
      <c r="B186" t="s">
        <v>131</v>
      </c>
      <c r="C186" t="s">
        <v>132</v>
      </c>
      <c r="D186">
        <v>300</v>
      </c>
      <c r="E186">
        <v>1</v>
      </c>
      <c r="F186">
        <v>300</v>
      </c>
      <c r="G186" t="s">
        <v>138</v>
      </c>
      <c r="H186" t="s">
        <v>153</v>
      </c>
      <c r="I186" s="36" t="str">
        <f>VLOOKUP(A186,N:O,2,0)</f>
        <v>Occidente</v>
      </c>
      <c r="J186" s="37">
        <f t="shared" si="8"/>
        <v>0.11</v>
      </c>
      <c r="K186" s="37">
        <f t="shared" si="6"/>
        <v>0</v>
      </c>
      <c r="L186" s="45">
        <f t="shared" si="7"/>
        <v>0</v>
      </c>
    </row>
    <row r="187" spans="1:12" x14ac:dyDescent="0.35">
      <c r="A187" t="s">
        <v>85</v>
      </c>
      <c r="B187" t="s">
        <v>131</v>
      </c>
      <c r="C187" t="s">
        <v>132</v>
      </c>
      <c r="D187">
        <v>300</v>
      </c>
      <c r="E187">
        <v>1</v>
      </c>
      <c r="F187">
        <v>300</v>
      </c>
      <c r="G187" t="s">
        <v>138</v>
      </c>
      <c r="H187" t="s">
        <v>153</v>
      </c>
      <c r="I187" s="36" t="str">
        <f>VLOOKUP(A187,N:O,2,0)</f>
        <v>Oriente</v>
      </c>
      <c r="J187" s="37">
        <f t="shared" si="8"/>
        <v>7.0000000000000007E-2</v>
      </c>
      <c r="K187" s="37">
        <f t="shared" si="6"/>
        <v>0</v>
      </c>
      <c r="L187" s="45">
        <f t="shared" si="7"/>
        <v>0</v>
      </c>
    </row>
    <row r="188" spans="1:12" ht="15" thickBot="1" x14ac:dyDescent="0.4">
      <c r="A188" t="s">
        <v>125</v>
      </c>
      <c r="B188" t="s">
        <v>127</v>
      </c>
      <c r="C188" t="s">
        <v>128</v>
      </c>
      <c r="D188">
        <v>300</v>
      </c>
      <c r="E188">
        <v>1</v>
      </c>
      <c r="F188">
        <v>300</v>
      </c>
      <c r="G188" t="s">
        <v>138</v>
      </c>
      <c r="H188" t="s">
        <v>152</v>
      </c>
      <c r="I188" s="39" t="str">
        <f>VLOOKUP(A188,N:O,2,0)</f>
        <v>Noroeste</v>
      </c>
      <c r="J188" s="40">
        <f t="shared" si="8"/>
        <v>0.08</v>
      </c>
      <c r="K188" s="40">
        <f t="shared" si="6"/>
        <v>24</v>
      </c>
      <c r="L188" s="46">
        <f t="shared" si="7"/>
        <v>24</v>
      </c>
    </row>
  </sheetData>
  <autoFilter ref="A2:L2" xr:uid="{953224B7-B4E1-4422-AD4D-5B88231FCB9D}"/>
  <conditionalFormatting sqref="L3:L188">
    <cfRule type="iconSet" priority="1">
      <iconSet iconSet="3Symbols" showValue="0" reverse="1">
        <cfvo type="percent" val="0"/>
        <cfvo type="num" val="0" gte="0"/>
        <cfvo type="num" val="100"/>
      </iconSet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6E456-C6D0-48A5-B142-D876991FED5F}">
  <dimension ref="A1:K13"/>
  <sheetViews>
    <sheetView zoomScale="85" zoomScaleNormal="85" workbookViewId="0">
      <selection activeCell="D16" sqref="D16"/>
    </sheetView>
  </sheetViews>
  <sheetFormatPr baseColWidth="10" defaultRowHeight="14.5" x14ac:dyDescent="0.35"/>
  <cols>
    <col min="1" max="1" width="26.26953125" bestFit="1" customWidth="1"/>
    <col min="2" max="2" width="21.81640625" bestFit="1" customWidth="1"/>
    <col min="3" max="4" width="7" bestFit="1" customWidth="1"/>
    <col min="5" max="5" width="8.08984375" bestFit="1" customWidth="1"/>
    <col min="6" max="6" width="11.7265625" bestFit="1" customWidth="1"/>
    <col min="7" max="7" width="6" bestFit="1" customWidth="1"/>
    <col min="8" max="9" width="11.81640625" bestFit="1" customWidth="1"/>
    <col min="10" max="10" width="7.36328125" bestFit="1" customWidth="1"/>
    <col min="11" max="11" width="6.36328125" bestFit="1" customWidth="1"/>
    <col min="12" max="16" width="11.81640625" bestFit="1" customWidth="1"/>
    <col min="17" max="17" width="4.81640625" bestFit="1" customWidth="1"/>
    <col min="18" max="18" width="11.81640625" bestFit="1" customWidth="1"/>
    <col min="19" max="19" width="6.81640625" bestFit="1" customWidth="1"/>
    <col min="20" max="20" width="8.26953125" bestFit="1" customWidth="1"/>
    <col min="21" max="21" width="9.453125" bestFit="1" customWidth="1"/>
    <col min="22" max="22" width="7" bestFit="1" customWidth="1"/>
    <col min="23" max="23" width="6.36328125" bestFit="1" customWidth="1"/>
    <col min="24" max="24" width="10.81640625" bestFit="1" customWidth="1"/>
    <col min="25" max="25" width="7.26953125" bestFit="1" customWidth="1"/>
    <col min="26" max="26" width="8.26953125" bestFit="1" customWidth="1"/>
    <col min="27" max="27" width="9.453125" bestFit="1" customWidth="1"/>
    <col min="28" max="28" width="6.1796875" bestFit="1" customWidth="1"/>
    <col min="29" max="29" width="11.453125" bestFit="1" customWidth="1"/>
  </cols>
  <sheetData>
    <row r="1" spans="1:11" ht="61.5" customHeight="1" x14ac:dyDescent="0.35">
      <c r="A1" s="30" t="s">
        <v>162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1" x14ac:dyDescent="0.35">
      <c r="A2" s="47" t="s">
        <v>159</v>
      </c>
      <c r="B2" s="47" t="s">
        <v>158</v>
      </c>
    </row>
    <row r="3" spans="1:11" x14ac:dyDescent="0.35">
      <c r="A3" s="47" t="s">
        <v>156</v>
      </c>
      <c r="B3" t="s">
        <v>135</v>
      </c>
      <c r="C3" t="s">
        <v>137</v>
      </c>
      <c r="D3" t="s">
        <v>138</v>
      </c>
      <c r="E3" s="52" t="s">
        <v>136</v>
      </c>
      <c r="F3" t="s">
        <v>157</v>
      </c>
    </row>
    <row r="4" spans="1:11" x14ac:dyDescent="0.35">
      <c r="A4" s="48" t="s">
        <v>144</v>
      </c>
      <c r="B4" s="49">
        <v>6.4350000000000005</v>
      </c>
      <c r="C4" s="49">
        <v>20</v>
      </c>
      <c r="D4" s="49"/>
      <c r="E4" s="51"/>
      <c r="F4" s="49">
        <v>13.217500000000001</v>
      </c>
    </row>
    <row r="5" spans="1:11" x14ac:dyDescent="0.35">
      <c r="A5" s="48" t="s">
        <v>143</v>
      </c>
      <c r="B5" s="49">
        <v>2.5462500000000001</v>
      </c>
      <c r="C5" s="49">
        <v>13.5</v>
      </c>
      <c r="D5" s="49"/>
      <c r="E5" s="51">
        <v>270</v>
      </c>
      <c r="F5" s="49">
        <v>17.562000000000001</v>
      </c>
    </row>
    <row r="6" spans="1:11" x14ac:dyDescent="0.35">
      <c r="A6" s="48" t="s">
        <v>140</v>
      </c>
      <c r="B6" s="49">
        <v>3.6400000000000006</v>
      </c>
      <c r="C6" s="49">
        <v>28.475999999999999</v>
      </c>
      <c r="D6" s="49"/>
      <c r="E6" s="51">
        <v>0</v>
      </c>
      <c r="F6" s="49">
        <v>10.336666666666666</v>
      </c>
    </row>
    <row r="7" spans="1:11" x14ac:dyDescent="0.35">
      <c r="A7" s="48" t="s">
        <v>139</v>
      </c>
      <c r="B7" s="49">
        <v>1.45</v>
      </c>
      <c r="C7" s="49">
        <v>7.1818181818181817</v>
      </c>
      <c r="D7" s="49">
        <v>18</v>
      </c>
      <c r="E7" s="51">
        <v>130</v>
      </c>
      <c r="F7" s="49">
        <v>10.997297297297298</v>
      </c>
    </row>
    <row r="8" spans="1:11" x14ac:dyDescent="0.35">
      <c r="A8" s="50" t="s">
        <v>141</v>
      </c>
      <c r="B8" s="51">
        <v>2.0957894736842104</v>
      </c>
      <c r="C8" s="51">
        <v>1.8666666666666669</v>
      </c>
      <c r="D8" s="51">
        <v>8.25</v>
      </c>
      <c r="E8" s="51">
        <v>224</v>
      </c>
      <c r="F8" s="51">
        <v>35.412352941176472</v>
      </c>
      <c r="G8" t="s">
        <v>161</v>
      </c>
    </row>
    <row r="9" spans="1:11" x14ac:dyDescent="0.35">
      <c r="A9" s="48" t="s">
        <v>142</v>
      </c>
      <c r="B9" s="49">
        <v>2.3450000000000002</v>
      </c>
      <c r="C9" s="49">
        <v>1.4000000000000001</v>
      </c>
      <c r="D9" s="49">
        <v>0</v>
      </c>
      <c r="E9" s="51"/>
      <c r="F9" s="49">
        <v>2.0226315789473688</v>
      </c>
    </row>
    <row r="10" spans="1:11" x14ac:dyDescent="0.35">
      <c r="A10" s="48" t="s">
        <v>146</v>
      </c>
      <c r="B10" s="49">
        <v>2.2400000000000007</v>
      </c>
      <c r="C10" s="49">
        <v>2.5100000000000002</v>
      </c>
      <c r="D10" s="49"/>
      <c r="E10" s="51"/>
      <c r="F10" s="49">
        <v>2.3221739130434789</v>
      </c>
    </row>
    <row r="11" spans="1:11" x14ac:dyDescent="0.35">
      <c r="A11" s="48" t="s">
        <v>145</v>
      </c>
      <c r="B11" s="49">
        <v>4.9255555555555555</v>
      </c>
      <c r="C11" s="49">
        <v>1.69</v>
      </c>
      <c r="D11" s="49"/>
      <c r="E11" s="51"/>
      <c r="F11" s="49">
        <v>4.3372727272727269</v>
      </c>
    </row>
    <row r="12" spans="1:11" x14ac:dyDescent="0.35">
      <c r="A12" s="48" t="s">
        <v>157</v>
      </c>
      <c r="B12" s="49">
        <v>2.5615079365079358</v>
      </c>
      <c r="C12" s="49">
        <v>8.8402325581395367</v>
      </c>
      <c r="D12" s="49">
        <v>9.8571428571428577</v>
      </c>
      <c r="E12" s="51">
        <v>192</v>
      </c>
      <c r="F12" s="49">
        <v>14.472473118279568</v>
      </c>
    </row>
    <row r="13" spans="1:11" x14ac:dyDescent="0.35">
      <c r="E13" t="s">
        <v>160</v>
      </c>
    </row>
  </sheetData>
  <mergeCells count="1">
    <mergeCell ref="A1:K1"/>
  </mergeCell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C2C64-2A17-433A-BA25-7C8A8E245091}">
  <dimension ref="A1:K25"/>
  <sheetViews>
    <sheetView workbookViewId="0">
      <selection activeCell="C9" sqref="C9"/>
    </sheetView>
  </sheetViews>
  <sheetFormatPr baseColWidth="10" defaultRowHeight="14.5" x14ac:dyDescent="0.35"/>
  <cols>
    <col min="2" max="2" width="7.36328125" bestFit="1" customWidth="1"/>
    <col min="3" max="3" width="14.90625" bestFit="1" customWidth="1"/>
    <col min="4" max="4" width="11.453125" bestFit="1" customWidth="1"/>
  </cols>
  <sheetData>
    <row r="1" spans="1:11" ht="74" customHeight="1" x14ac:dyDescent="0.35">
      <c r="A1" s="30" t="s">
        <v>164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3" spans="1:11" x14ac:dyDescent="0.35">
      <c r="A3" t="s">
        <v>168</v>
      </c>
      <c r="B3" t="s">
        <v>165</v>
      </c>
      <c r="C3" t="s">
        <v>166</v>
      </c>
      <c r="D3" t="s">
        <v>167</v>
      </c>
      <c r="E3" t="s">
        <v>170</v>
      </c>
    </row>
    <row r="4" spans="1:11" x14ac:dyDescent="0.35">
      <c r="A4" s="53">
        <f ca="1">TODAY()</f>
        <v>45851</v>
      </c>
      <c r="E4">
        <f>+C4*D4</f>
        <v>0</v>
      </c>
    </row>
    <row r="7" spans="1:11" x14ac:dyDescent="0.35">
      <c r="A7" t="s">
        <v>168</v>
      </c>
      <c r="B7" t="s">
        <v>165</v>
      </c>
      <c r="C7" t="s">
        <v>169</v>
      </c>
      <c r="D7" t="s">
        <v>167</v>
      </c>
      <c r="E7" t="s">
        <v>170</v>
      </c>
    </row>
    <row r="8" spans="1:11" x14ac:dyDescent="0.35">
      <c r="A8" s="53">
        <v>45851</v>
      </c>
      <c r="B8" t="s">
        <v>171</v>
      </c>
      <c r="C8">
        <v>2500</v>
      </c>
      <c r="D8">
        <v>30</v>
      </c>
      <c r="E8">
        <v>75000</v>
      </c>
    </row>
    <row r="9" spans="1:11" x14ac:dyDescent="0.35">
      <c r="A9" s="53">
        <v>45847</v>
      </c>
      <c r="B9" t="s">
        <v>173</v>
      </c>
      <c r="C9">
        <v>2593</v>
      </c>
      <c r="D9">
        <v>75</v>
      </c>
      <c r="E9">
        <v>194475</v>
      </c>
    </row>
    <row r="10" spans="1:11" x14ac:dyDescent="0.35">
      <c r="A10" s="53">
        <v>45846</v>
      </c>
      <c r="B10" t="s">
        <v>180</v>
      </c>
      <c r="C10">
        <v>4194</v>
      </c>
      <c r="D10">
        <v>71</v>
      </c>
      <c r="E10">
        <v>297774</v>
      </c>
    </row>
    <row r="11" spans="1:11" x14ac:dyDescent="0.35">
      <c r="A11" s="53">
        <v>45842</v>
      </c>
      <c r="B11" t="s">
        <v>177</v>
      </c>
      <c r="C11">
        <v>4937</v>
      </c>
      <c r="D11">
        <v>89</v>
      </c>
      <c r="E11">
        <v>439393</v>
      </c>
    </row>
    <row r="12" spans="1:11" x14ac:dyDescent="0.35">
      <c r="A12" s="53">
        <v>45828</v>
      </c>
      <c r="B12" t="s">
        <v>175</v>
      </c>
      <c r="C12">
        <v>2245</v>
      </c>
      <c r="D12">
        <v>23</v>
      </c>
      <c r="E12">
        <v>51635</v>
      </c>
    </row>
    <row r="13" spans="1:11" x14ac:dyDescent="0.35">
      <c r="A13" s="53">
        <v>45821</v>
      </c>
      <c r="B13" t="s">
        <v>175</v>
      </c>
      <c r="C13">
        <v>2561</v>
      </c>
      <c r="D13">
        <v>90</v>
      </c>
      <c r="E13">
        <v>230490</v>
      </c>
    </row>
    <row r="14" spans="1:11" x14ac:dyDescent="0.35">
      <c r="A14" s="53">
        <v>45813</v>
      </c>
      <c r="B14" t="s">
        <v>171</v>
      </c>
      <c r="C14">
        <v>2585</v>
      </c>
      <c r="D14">
        <v>44</v>
      </c>
      <c r="E14">
        <v>113740</v>
      </c>
    </row>
    <row r="15" spans="1:11" x14ac:dyDescent="0.35">
      <c r="A15" s="53">
        <v>45803</v>
      </c>
      <c r="B15" t="s">
        <v>177</v>
      </c>
      <c r="C15">
        <v>3573</v>
      </c>
      <c r="D15">
        <v>75</v>
      </c>
      <c r="E15">
        <v>267975</v>
      </c>
    </row>
    <row r="16" spans="1:11" x14ac:dyDescent="0.35">
      <c r="A16" s="53">
        <v>45803</v>
      </c>
      <c r="B16" t="s">
        <v>181</v>
      </c>
      <c r="C16">
        <v>2843</v>
      </c>
      <c r="D16">
        <v>13</v>
      </c>
      <c r="E16">
        <v>36959</v>
      </c>
    </row>
    <row r="17" spans="1:5" x14ac:dyDescent="0.35">
      <c r="A17" s="53">
        <v>45800</v>
      </c>
      <c r="B17" t="s">
        <v>174</v>
      </c>
      <c r="C17">
        <v>4912</v>
      </c>
      <c r="D17">
        <v>14</v>
      </c>
      <c r="E17">
        <v>68768</v>
      </c>
    </row>
    <row r="18" spans="1:5" x14ac:dyDescent="0.35">
      <c r="A18" s="53">
        <v>45782</v>
      </c>
      <c r="B18" t="s">
        <v>179</v>
      </c>
      <c r="C18">
        <v>3010</v>
      </c>
      <c r="D18">
        <v>69</v>
      </c>
      <c r="E18">
        <v>207690</v>
      </c>
    </row>
    <row r="19" spans="1:5" x14ac:dyDescent="0.35">
      <c r="A19" s="53">
        <v>45777</v>
      </c>
      <c r="B19" t="s">
        <v>176</v>
      </c>
      <c r="C19">
        <v>4148</v>
      </c>
      <c r="D19">
        <v>12</v>
      </c>
      <c r="E19">
        <v>49776</v>
      </c>
    </row>
    <row r="20" spans="1:5" x14ac:dyDescent="0.35">
      <c r="A20" s="53">
        <v>45767</v>
      </c>
      <c r="B20" t="s">
        <v>177</v>
      </c>
      <c r="C20">
        <v>2485</v>
      </c>
      <c r="D20">
        <v>58</v>
      </c>
      <c r="E20">
        <v>144130</v>
      </c>
    </row>
    <row r="21" spans="1:5" x14ac:dyDescent="0.35">
      <c r="A21" s="53">
        <v>45764</v>
      </c>
      <c r="B21" t="s">
        <v>175</v>
      </c>
      <c r="C21">
        <v>4684</v>
      </c>
      <c r="D21">
        <v>31</v>
      </c>
      <c r="E21">
        <v>145204</v>
      </c>
    </row>
    <row r="22" spans="1:5" x14ac:dyDescent="0.35">
      <c r="A22" s="53">
        <v>45762</v>
      </c>
      <c r="B22" t="s">
        <v>178</v>
      </c>
      <c r="C22">
        <v>4961</v>
      </c>
      <c r="D22">
        <v>63</v>
      </c>
      <c r="E22">
        <v>312543</v>
      </c>
    </row>
    <row r="23" spans="1:5" x14ac:dyDescent="0.35">
      <c r="A23" s="53">
        <v>45761</v>
      </c>
      <c r="B23" t="s">
        <v>171</v>
      </c>
      <c r="C23">
        <v>3414</v>
      </c>
      <c r="D23">
        <v>31</v>
      </c>
      <c r="E23">
        <v>105834</v>
      </c>
    </row>
    <row r="24" spans="1:5" x14ac:dyDescent="0.35">
      <c r="A24" s="53">
        <v>45759</v>
      </c>
      <c r="B24" t="s">
        <v>176</v>
      </c>
      <c r="C24">
        <v>4455</v>
      </c>
      <c r="D24">
        <v>99</v>
      </c>
      <c r="E24">
        <v>441045</v>
      </c>
    </row>
    <row r="25" spans="1:5" x14ac:dyDescent="0.35">
      <c r="A25" s="53">
        <v>45757</v>
      </c>
      <c r="B25" t="s">
        <v>172</v>
      </c>
      <c r="C25">
        <v>4783</v>
      </c>
      <c r="D25">
        <v>24</v>
      </c>
      <c r="E25">
        <v>114792</v>
      </c>
    </row>
  </sheetData>
  <autoFilter ref="A7:E25" xr:uid="{9E483ECE-ACF7-47F5-AA39-D663EFF2CA54}">
    <sortState xmlns:xlrd2="http://schemas.microsoft.com/office/spreadsheetml/2017/richdata2" ref="A8:E25">
      <sortCondition descending="1" ref="A7:A25"/>
    </sortState>
  </autoFilter>
  <mergeCells count="1">
    <mergeCell ref="A1:K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BuscarV Ejercicio</vt:lpstr>
      <vt:lpstr>Funciones Anidadas</vt:lpstr>
      <vt:lpstr>Gráfico Dinámico</vt:lpstr>
      <vt:lpstr>Macro</vt:lpstr>
      <vt:lpstr>BuscarV Solución</vt:lpstr>
      <vt:lpstr>Funciones Anidades Solución</vt:lpstr>
      <vt:lpstr>Gráfico Dinámico Solución</vt:lpstr>
      <vt:lpstr>Macro Solución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Perez</dc:creator>
  <cp:lastModifiedBy>Fernando Perez</cp:lastModifiedBy>
  <dcterms:created xsi:type="dcterms:W3CDTF">2025-07-14T04:55:43Z</dcterms:created>
  <dcterms:modified xsi:type="dcterms:W3CDTF">2025-07-14T05:43:22Z</dcterms:modified>
</cp:coreProperties>
</file>